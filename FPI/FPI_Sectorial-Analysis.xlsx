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Wide'!$AY$11</f>
            </numRef>
          </val>
        </ser>
        <ser>
          <idx val="50"/>
          <order val="50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Wide'!$AY$14</f>
            </numRef>
          </val>
        </ser>
        <ser>
          <idx val="101"/>
          <order val="10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Wide'!$AY$17</f>
            </numRef>
          </val>
        </ser>
        <ser>
          <idx val="152"/>
          <order val="152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</f>
            </numRef>
          </val>
        </ser>
        <ser>
          <idx val="203"/>
          <order val="203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Wide'!$AY$10</f>
            </numRef>
          </val>
        </ser>
        <ser>
          <idx val="254"/>
          <order val="25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Wide'!$AY$8</f>
            </numRef>
          </val>
        </ser>
        <ser>
          <idx val="305"/>
          <order val="30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Wide'!$AY$22</f>
            </numRef>
          </val>
        </ser>
        <ser>
          <idx val="356"/>
          <order val="356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Wide'!$AY$13</f>
            </numRef>
          </val>
        </ser>
        <ser>
          <idx val="407"/>
          <order val="407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A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8" t="inlineStr">
        <is>
          <t>Sector Trend</t>
        </is>
      </c>
      <c r="BB1" s="11" t="inlineStr">
        <is>
          <t>30 Days
Flow</t>
        </is>
      </c>
      <c r="BC1" s="11" t="inlineStr">
        <is>
          <t>45 Days
Flow</t>
        </is>
      </c>
      <c r="BD1" s="11" t="inlineStr">
        <is>
          <t>60 Days
Flow</t>
        </is>
      </c>
      <c r="BE1" s="11" t="inlineStr">
        <is>
          <t>75 Days
Flow</t>
        </is>
      </c>
      <c r="BF1" s="11" t="inlineStr">
        <is>
          <t>90 Days
Flow</t>
        </is>
      </c>
      <c r="BG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/>
      <c r="BB2" s="38">
        <f>SUM(Table22[[#This Row],[Net Investment
April 16-30, 2026]:[Net Investment
May 01-15, 2026]])</f>
        <v/>
      </c>
      <c r="BC2" s="38">
        <f>SUM(Table22[[#This Row],[Net Investment
April 01-15, 2026]:[Net Investment
May 01-15, 2026]])</f>
        <v/>
      </c>
      <c r="BD2" s="38">
        <f>SUM(Table22[[#This Row],[Net Investment
March 16-31, 2026]:[Net Investment
May 01-15, 2026]])</f>
        <v/>
      </c>
      <c r="BE2" s="38">
        <f>SUM(Table22[[#This Row],[Net Investment
March 01-15, 2026]:[Net Investment
May 01-15, 2026]])</f>
        <v/>
      </c>
      <c r="BF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B3" s="38">
        <f>SUM(Table22[[#This Row],[Net Investment
April 16-30, 2026]:[Net Investment
May 01-15, 2026]])</f>
        <v/>
      </c>
      <c r="BC3" s="38">
        <f>SUM(Table22[[#This Row],[Net Investment
April 01-15, 2026]:[Net Investment
May 01-15, 2026]])</f>
        <v/>
      </c>
      <c r="BD3" s="38">
        <f>SUM(Table22[[#This Row],[Net Investment
March 16-31, 2026]:[Net Investment
May 01-15, 2026]])</f>
        <v/>
      </c>
      <c r="BE3" s="38">
        <f>SUM(Table22[[#This Row],[Net Investment
March 01-15, 2026]:[Net Investment
May 01-15, 2026]])</f>
        <v/>
      </c>
      <c r="BF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B4" s="38">
        <f>SUM(Table22[[#This Row],[Net Investment
April 16-30, 2026]:[Net Investment
May 01-15, 2026]])</f>
        <v/>
      </c>
      <c r="BC4" s="38">
        <f>SUM(Table22[[#This Row],[Net Investment
April 01-15, 2026]:[Net Investment
May 01-15, 2026]])</f>
        <v/>
      </c>
      <c r="BD4" s="38">
        <f>SUM(Table22[[#This Row],[Net Investment
March 16-31, 2026]:[Net Investment
May 01-15, 2026]])</f>
        <v/>
      </c>
      <c r="BE4" s="38">
        <f>SUM(Table22[[#This Row],[Net Investment
March 01-15, 2026]:[Net Investment
May 01-15, 2026]])</f>
        <v/>
      </c>
      <c r="BF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B5" s="38">
        <f>SUM(Table22[[#This Row],[Net Investment
April 16-30, 2026]:[Net Investment
May 01-15, 2026]])</f>
        <v/>
      </c>
      <c r="BC5" s="38">
        <f>SUM(Table22[[#This Row],[Net Investment
April 01-15, 2026]:[Net Investment
May 01-15, 2026]])</f>
        <v/>
      </c>
      <c r="BD5" s="38">
        <f>SUM(Table22[[#This Row],[Net Investment
March 16-31, 2026]:[Net Investment
May 01-15, 2026]])</f>
        <v/>
      </c>
      <c r="BE5" s="38">
        <f>SUM(Table22[[#This Row],[Net Investment
March 01-15, 2026]:[Net Investment
May 01-15, 2026]])</f>
        <v/>
      </c>
      <c r="BF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B6" s="38">
        <f>SUM(Table22[[#This Row],[Net Investment
April 16-30, 2026]:[Net Investment
May 01-15, 2026]])</f>
        <v/>
      </c>
      <c r="BC6" s="38">
        <f>SUM(Table22[[#This Row],[Net Investment
April 01-15, 2026]:[Net Investment
May 01-15, 2026]])</f>
        <v/>
      </c>
      <c r="BD6" s="38">
        <f>SUM(Table22[[#This Row],[Net Investment
March 16-31, 2026]:[Net Investment
May 01-15, 2026]])</f>
        <v/>
      </c>
      <c r="BE6" s="38">
        <f>SUM(Table22[[#This Row],[Net Investment
March 01-15, 2026]:[Net Investment
May 01-15, 2026]])</f>
        <v/>
      </c>
      <c r="BF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B7" s="38">
        <f>SUM(Table22[[#This Row],[Net Investment
April 16-30, 2026]:[Net Investment
May 01-15, 2026]])</f>
        <v/>
      </c>
      <c r="BC7" s="38">
        <f>SUM(Table22[[#This Row],[Net Investment
April 01-15, 2026]:[Net Investment
May 01-15, 2026]])</f>
        <v/>
      </c>
      <c r="BD7" s="38">
        <f>SUM(Table22[[#This Row],[Net Investment
March 16-31, 2026]:[Net Investment
May 01-15, 2026]])</f>
        <v/>
      </c>
      <c r="BE7" s="38">
        <f>SUM(Table22[[#This Row],[Net Investment
March 01-15, 2026]:[Net Investment
May 01-15, 2026]])</f>
        <v/>
      </c>
      <c r="BF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B8" s="38">
        <f>SUM(Table22[[#This Row],[Net Investment
April 16-30, 2026]:[Net Investment
May 01-15, 2026]])</f>
        <v/>
      </c>
      <c r="BC8" s="38">
        <f>SUM(Table22[[#This Row],[Net Investment
April 01-15, 2026]:[Net Investment
May 01-15, 2026]])</f>
        <v/>
      </c>
      <c r="BD8" s="38">
        <f>SUM(Table22[[#This Row],[Net Investment
March 16-31, 2026]:[Net Investment
May 01-15, 2026]])</f>
        <v/>
      </c>
      <c r="BE8" s="38">
        <f>SUM(Table22[[#This Row],[Net Investment
March 01-15, 2026]:[Net Investment
May 01-15, 2026]])</f>
        <v/>
      </c>
      <c r="BF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B9" s="38">
        <f>SUM(Table22[[#This Row],[Net Investment
April 16-30, 2026]:[Net Investment
May 01-15, 2026]])</f>
        <v/>
      </c>
      <c r="BC9" s="38">
        <f>SUM(Table22[[#This Row],[Net Investment
April 01-15, 2026]:[Net Investment
May 01-15, 2026]])</f>
        <v/>
      </c>
      <c r="BD9" s="38">
        <f>SUM(Table22[[#This Row],[Net Investment
March 16-31, 2026]:[Net Investment
May 01-15, 2026]])</f>
        <v/>
      </c>
      <c r="BE9" s="38">
        <f>SUM(Table22[[#This Row],[Net Investment
March 01-15, 2026]:[Net Investment
May 01-15, 2026]])</f>
        <v/>
      </c>
      <c r="BF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B10" s="38">
        <f>SUM(Table22[[#This Row],[Net Investment
April 16-30, 2026]:[Net Investment
May 01-15, 2026]])</f>
        <v/>
      </c>
      <c r="BC10" s="38">
        <f>SUM(Table22[[#This Row],[Net Investment
April 01-15, 2026]:[Net Investment
May 01-15, 2026]])</f>
        <v/>
      </c>
      <c r="BD10" s="38">
        <f>SUM(Table22[[#This Row],[Net Investment
March 16-31, 2026]:[Net Investment
May 01-15, 2026]])</f>
        <v/>
      </c>
      <c r="BE10" s="38">
        <f>SUM(Table22[[#This Row],[Net Investment
March 01-15, 2026]:[Net Investment
May 01-15, 2026]])</f>
        <v/>
      </c>
      <c r="BF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B11" s="38">
        <f>SUM(Table22[[#This Row],[Net Investment
April 16-30, 2026]:[Net Investment
May 01-15, 2026]])</f>
        <v/>
      </c>
      <c r="BC11" s="38">
        <f>SUM(Table22[[#This Row],[Net Investment
April 01-15, 2026]:[Net Investment
May 01-15, 2026]])</f>
        <v/>
      </c>
      <c r="BD11" s="38">
        <f>SUM(Table22[[#This Row],[Net Investment
March 16-31, 2026]:[Net Investment
May 01-15, 2026]])</f>
        <v/>
      </c>
      <c r="BE11" s="38">
        <f>SUM(Table22[[#This Row],[Net Investment
March 01-15, 2026]:[Net Investment
May 01-15, 2026]])</f>
        <v/>
      </c>
      <c r="BF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B12" s="38">
        <f>SUM(Table22[[#This Row],[Net Investment
April 16-30, 2026]:[Net Investment
May 01-15, 2026]])</f>
        <v/>
      </c>
      <c r="BC12" s="38">
        <f>SUM(Table22[[#This Row],[Net Investment
April 01-15, 2026]:[Net Investment
May 01-15, 2026]])</f>
        <v/>
      </c>
      <c r="BD12" s="38">
        <f>SUM(Table22[[#This Row],[Net Investment
March 16-31, 2026]:[Net Investment
May 01-15, 2026]])</f>
        <v/>
      </c>
      <c r="BE12" s="38">
        <f>SUM(Table22[[#This Row],[Net Investment
March 01-15, 2026]:[Net Investment
May 01-15, 2026]])</f>
        <v/>
      </c>
      <c r="BF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B13" s="38">
        <f>SUM(Table22[[#This Row],[Net Investment
April 16-30, 2026]:[Net Investment
May 01-15, 2026]])</f>
        <v/>
      </c>
      <c r="BC13" s="38">
        <f>SUM(Table22[[#This Row],[Net Investment
April 01-15, 2026]:[Net Investment
May 01-15, 2026]])</f>
        <v/>
      </c>
      <c r="BD13" s="38">
        <f>SUM(Table22[[#This Row],[Net Investment
March 16-31, 2026]:[Net Investment
May 01-15, 2026]])</f>
        <v/>
      </c>
      <c r="BE13" s="38">
        <f>SUM(Table22[[#This Row],[Net Investment
March 01-15, 2026]:[Net Investment
May 01-15, 2026]])</f>
        <v/>
      </c>
      <c r="BF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B14" s="38">
        <f>SUM(Table22[[#This Row],[Net Investment
April 16-30, 2026]:[Net Investment
May 01-15, 2026]])</f>
        <v/>
      </c>
      <c r="BC14" s="38">
        <f>SUM(Table22[[#This Row],[Net Investment
April 01-15, 2026]:[Net Investment
May 01-15, 2026]])</f>
        <v/>
      </c>
      <c r="BD14" s="38">
        <f>SUM(Table22[[#This Row],[Net Investment
March 16-31, 2026]:[Net Investment
May 01-15, 2026]])</f>
        <v/>
      </c>
      <c r="BE14" s="38">
        <f>SUM(Table22[[#This Row],[Net Investment
March 01-15, 2026]:[Net Investment
May 01-15, 2026]])</f>
        <v/>
      </c>
      <c r="BF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B15" s="38">
        <f>SUM(Table22[[#This Row],[Net Investment
April 16-30, 2026]:[Net Investment
May 01-15, 2026]])</f>
        <v/>
      </c>
      <c r="BC15" s="38">
        <f>SUM(Table22[[#This Row],[Net Investment
April 01-15, 2026]:[Net Investment
May 01-15, 2026]])</f>
        <v/>
      </c>
      <c r="BD15" s="38">
        <f>SUM(Table22[[#This Row],[Net Investment
March 16-31, 2026]:[Net Investment
May 01-15, 2026]])</f>
        <v/>
      </c>
      <c r="BE15" s="38">
        <f>SUM(Table22[[#This Row],[Net Investment
March 01-15, 2026]:[Net Investment
May 01-15, 2026]])</f>
        <v/>
      </c>
      <c r="BF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B16" s="38">
        <f>SUM(Table22[[#This Row],[Net Investment
April 16-30, 2026]:[Net Investment
May 01-15, 2026]])</f>
        <v/>
      </c>
      <c r="BC16" s="38">
        <f>SUM(Table22[[#This Row],[Net Investment
April 01-15, 2026]:[Net Investment
May 01-15, 2026]])</f>
        <v/>
      </c>
      <c r="BD16" s="38">
        <f>SUM(Table22[[#This Row],[Net Investment
March 16-31, 2026]:[Net Investment
May 01-15, 2026]])</f>
        <v/>
      </c>
      <c r="BE16" s="38">
        <f>SUM(Table22[[#This Row],[Net Investment
March 01-15, 2026]:[Net Investment
May 01-15, 2026]])</f>
        <v/>
      </c>
      <c r="BF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B17" s="38">
        <f>SUM(Table22[[#This Row],[Net Investment
April 16-30, 2026]:[Net Investment
May 01-15, 2026]])</f>
        <v/>
      </c>
      <c r="BC17" s="38">
        <f>SUM(Table22[[#This Row],[Net Investment
April 01-15, 2026]:[Net Investment
May 01-15, 2026]])</f>
        <v/>
      </c>
      <c r="BD17" s="38">
        <f>SUM(Table22[[#This Row],[Net Investment
March 16-31, 2026]:[Net Investment
May 01-15, 2026]])</f>
        <v/>
      </c>
      <c r="BE17" s="38">
        <f>SUM(Table22[[#This Row],[Net Investment
March 01-15, 2026]:[Net Investment
May 01-15, 2026]])</f>
        <v/>
      </c>
      <c r="BF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B18" s="38">
        <f>SUM(Table22[[#This Row],[Net Investment
April 16-30, 2026]:[Net Investment
May 01-15, 2026]])</f>
        <v/>
      </c>
      <c r="BC18" s="38">
        <f>SUM(Table22[[#This Row],[Net Investment
April 01-15, 2026]:[Net Investment
May 01-15, 2026]])</f>
        <v/>
      </c>
      <c r="BD18" s="38">
        <f>SUM(Table22[[#This Row],[Net Investment
March 16-31, 2026]:[Net Investment
May 01-15, 2026]])</f>
        <v/>
      </c>
      <c r="BE18" s="38">
        <f>SUM(Table22[[#This Row],[Net Investment
March 01-15, 2026]:[Net Investment
May 01-15, 2026]])</f>
        <v/>
      </c>
      <c r="BF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B19" s="38">
        <f>SUM(Table22[[#This Row],[Net Investment
April 16-30, 2026]:[Net Investment
May 01-15, 2026]])</f>
        <v/>
      </c>
      <c r="BC19" s="38">
        <f>SUM(Table22[[#This Row],[Net Investment
April 01-15, 2026]:[Net Investment
May 01-15, 2026]])</f>
        <v/>
      </c>
      <c r="BD19" s="38">
        <f>SUM(Table22[[#This Row],[Net Investment
March 16-31, 2026]:[Net Investment
May 01-15, 2026]])</f>
        <v/>
      </c>
      <c r="BE19" s="38">
        <f>SUM(Table22[[#This Row],[Net Investment
March 01-15, 2026]:[Net Investment
May 01-15, 2026]])</f>
        <v/>
      </c>
      <c r="BF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B20" s="38">
        <f>SUM(Table22[[#This Row],[Net Investment
April 16-30, 2026]:[Net Investment
May 01-15, 2026]])</f>
        <v/>
      </c>
      <c r="BC20" s="38">
        <f>SUM(Table22[[#This Row],[Net Investment
April 01-15, 2026]:[Net Investment
May 01-15, 2026]])</f>
        <v/>
      </c>
      <c r="BD20" s="38">
        <f>SUM(Table22[[#This Row],[Net Investment
March 16-31, 2026]:[Net Investment
May 01-15, 2026]])</f>
        <v/>
      </c>
      <c r="BE20" s="38">
        <f>SUM(Table22[[#This Row],[Net Investment
March 01-15, 2026]:[Net Investment
May 01-15, 2026]])</f>
        <v/>
      </c>
      <c r="BF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B21" s="38">
        <f>SUM(Table22[[#This Row],[Net Investment
April 16-30, 2026]:[Net Investment
May 01-15, 2026]])</f>
        <v/>
      </c>
      <c r="BC21" s="38">
        <f>SUM(Table22[[#This Row],[Net Investment
April 01-15, 2026]:[Net Investment
May 01-15, 2026]])</f>
        <v/>
      </c>
      <c r="BD21" s="38">
        <f>SUM(Table22[[#This Row],[Net Investment
March 16-31, 2026]:[Net Investment
May 01-15, 2026]])</f>
        <v/>
      </c>
      <c r="BE21" s="38">
        <f>SUM(Table22[[#This Row],[Net Investment
March 01-15, 2026]:[Net Investment
May 01-15, 2026]])</f>
        <v/>
      </c>
      <c r="BF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B22" s="38">
        <f>SUM(Table22[[#This Row],[Net Investment
April 16-30, 2026]:[Net Investment
May 01-15, 2026]])</f>
        <v/>
      </c>
      <c r="BC22" s="38">
        <f>SUM(Table22[[#This Row],[Net Investment
April 01-15, 2026]:[Net Investment
May 01-15, 2026]])</f>
        <v/>
      </c>
      <c r="BD22" s="38">
        <f>SUM(Table22[[#This Row],[Net Investment
March 16-31, 2026]:[Net Investment
May 01-15, 2026]])</f>
        <v/>
      </c>
      <c r="BE22" s="38">
        <f>SUM(Table22[[#This Row],[Net Investment
March 01-15, 2026]:[Net Investment
May 01-15, 2026]])</f>
        <v/>
      </c>
      <c r="BF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B23" s="38">
        <f>SUM(Table22[[#This Row],[Net Investment
April 16-30, 2026]:[Net Investment
May 01-15, 2026]])</f>
        <v/>
      </c>
      <c r="BC23" s="38">
        <f>SUM(Table22[[#This Row],[Net Investment
April 01-15, 2026]:[Net Investment
May 01-15, 2026]])</f>
        <v/>
      </c>
      <c r="BD23" s="38">
        <f>SUM(Table22[[#This Row],[Net Investment
March 16-31, 2026]:[Net Investment
May 01-15, 2026]])</f>
        <v/>
      </c>
      <c r="BE23" s="38">
        <f>SUM(Table22[[#This Row],[Net Investment
March 01-15, 2026]:[Net Investment
May 01-15, 2026]])</f>
        <v/>
      </c>
      <c r="BF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B24" s="38">
        <f>SUM(Table22[[#This Row],[Net Investment
April 16-30, 2026]:[Net Investment
May 01-15, 2026]])</f>
        <v/>
      </c>
      <c r="BC24" s="38">
        <f>SUM(Table22[[#This Row],[Net Investment
April 01-15, 2026]:[Net Investment
May 01-15, 2026]])</f>
        <v/>
      </c>
      <c r="BD24" s="38">
        <f>SUM(Table22[[#This Row],[Net Investment
March 16-31, 2026]:[Net Investment
May 01-15, 2026]])</f>
        <v/>
      </c>
      <c r="BE24" s="38">
        <f>SUM(Table22[[#This Row],[Net Investment
March 01-15, 2026]:[Net Investment
May 01-15, 2026]])</f>
        <v/>
      </c>
      <c r="BF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B25" s="38">
        <f>SUM(Table22[[#This Row],[Net Investment
April 16-30, 2026]:[Net Investment
May 01-15, 2026]])</f>
        <v/>
      </c>
      <c r="BC25" s="38">
        <f>SUM(Table22[[#This Row],[Net Investment
April 01-15, 2026]:[Net Investment
May 01-15, 2026]])</f>
        <v/>
      </c>
      <c r="BD25" s="38">
        <f>SUM(Table22[[#This Row],[Net Investment
March 16-31, 2026]:[Net Investment
May 01-15, 2026]])</f>
        <v/>
      </c>
      <c r="BE25" s="38">
        <f>SUM(Table22[[#This Row],[Net Investment
March 01-15, 2026]:[Net Investment
May 01-15, 2026]])</f>
        <v/>
      </c>
      <c r="BF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B26" s="38">
        <f>SUM(Table22[[#This Row],[Net Investment
April 16-30, 2026]:[Net Investment
May 01-15, 2026]])</f>
        <v/>
      </c>
      <c r="BC26" s="38">
        <f>SUM(Table22[[#This Row],[Net Investment
April 01-15, 2026]:[Net Investment
May 01-15, 2026]])</f>
        <v/>
      </c>
      <c r="BD26" s="38">
        <f>SUM(Table22[[#This Row],[Net Investment
March 16-31, 2026]:[Net Investment
May 01-15, 2026]])</f>
        <v/>
      </c>
      <c r="BE26" s="38">
        <f>SUM(Table22[[#This Row],[Net Investment
March 01-15, 2026]:[Net Investment
May 01-15, 2026]])</f>
        <v/>
      </c>
      <c r="BF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</row>
  </sheetData>
  <conditionalFormatting sqref="B2:A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4405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-1556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315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-404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384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1472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3398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-18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-189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6535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2910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2530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-6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720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490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-1164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-1014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-3322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1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-159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-7831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733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-1603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2829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8814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13599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10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-817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5841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10665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5888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-271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5657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235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-4027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779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2994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-9047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455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-37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2093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-18538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-4721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-1551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993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-3159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9375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5063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31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-13120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-44785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856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-7701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-960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4479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-28723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-5471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-944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12139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-14209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379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131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4090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2026-08-25T13:16:31Z</dcterms:modified>
  <cp:lastModifiedBy>Ankit Gupta</cp:lastModifiedBy>
</cp:coreProperties>
</file>