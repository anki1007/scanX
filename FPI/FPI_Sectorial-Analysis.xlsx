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Wide'!$BA$11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Wide'!$BB$11</f>
            </numRef>
          </val>
        </ser>
        <ser>
          <idx val="53"/>
          <order val="53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Wide'!$BC$11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Wide'!$AZ$14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Wide'!$BB$14</f>
            </numRef>
          </val>
        </ser>
        <ser>
          <idx val="107"/>
          <order val="107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Wide'!$BC$14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Wide'!$AY$17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Wide'!$BA$17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Wide'!$BB$17</f>
            </numRef>
          </val>
        </ser>
        <ser>
          <idx val="161"/>
          <order val="161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Wide'!$BC$17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</f>
            </numRef>
          </val>
        </ser>
        <ser>
          <idx val="215"/>
          <order val="215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Wide'!$AW$10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Wide'!$AY$10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Wide'!$AZ$10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Wide'!$BA$10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Wide'!$BB$10</f>
            </numRef>
          </val>
        </ser>
        <ser>
          <idx val="269"/>
          <order val="269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Wide'!$BC$10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Wide'!$AV$8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Wide'!$AX$8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Wide'!$AY$8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Wide'!$AZ$8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Wide'!$BA$8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Wide'!$BB$8</f>
            </numRef>
          </val>
        </ser>
        <ser>
          <idx val="323"/>
          <order val="323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Wide'!$BC$8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Wide'!$AU$22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Wide'!$AW$22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Wide'!$AX$22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Wide'!$AY$22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Wide'!$AZ$22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Wide'!$BA$22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Wide'!$BB$22</f>
            </numRef>
          </val>
        </ser>
        <ser>
          <idx val="377"/>
          <order val="377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Wide'!$BC$22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Wide'!$C$13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Wide'!$D$13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Wide'!$E$13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Wide'!$F$13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Wide'!$G$13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Wide'!$H$13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Wide'!$I$13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Wide'!$J$13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Wide'!$K$13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Wide'!$L$13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Wide'!$M$13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Wide'!$N$13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Wide'!$O$13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Wide'!$P$13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Wide'!$Q$13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Wide'!$R$13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Wide'!$S$13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Wide'!$T$13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Wide'!$U$13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Wide'!$V$13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Wide'!$W$13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Wide'!$X$13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Wide'!$Y$13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Wide'!$Z$13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Wide'!$AA$13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Wide'!$AB$13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Wide'!$AC$13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Wide'!$AD$13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Wide'!$AE$13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Wide'!$AF$13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Wide'!$AG$13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Wide'!$AH$13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Wide'!$AI$13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Wide'!$AJ$13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Wide'!$AK$13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Wide'!$AL$13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Wide'!$AM$13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Wide'!$AN$13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Wide'!$AO$13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Wide'!$AP$13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Wide'!$AQ$13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Wide'!$AR$13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Wide'!$AS$13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Wide'!$AT$13</f>
            </numRef>
          </val>
        </ser>
        <ser>
          <idx val="423"/>
          <order val="4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Wide'!$AU$13</f>
            </numRef>
          </val>
        </ser>
        <ser>
          <idx val="424"/>
          <order val="4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Wide'!$AV$13</f>
            </numRef>
          </val>
        </ser>
        <ser>
          <idx val="425"/>
          <order val="4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Wide'!$AW$13</f>
            </numRef>
          </val>
        </ser>
        <ser>
          <idx val="426"/>
          <order val="4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Wide'!$AX$13</f>
            </numRef>
          </val>
        </ser>
        <ser>
          <idx val="427"/>
          <order val="4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Wide'!$AY$13</f>
            </numRef>
          </val>
        </ser>
        <ser>
          <idx val="428"/>
          <order val="4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Wide'!$AZ$13</f>
            </numRef>
          </val>
        </ser>
        <ser>
          <idx val="429"/>
          <order val="4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Wide'!$BA$13</f>
            </numRef>
          </val>
        </ser>
        <ser>
          <idx val="430"/>
          <order val="4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Wide'!$BB$13</f>
            </numRef>
          </val>
        </ser>
        <ser>
          <idx val="431"/>
          <order val="431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Wide'!$B$1:$BC$1</f>
            </numRef>
          </cat>
          <val>
            <numRef>
              <f>'Sectors Wide'!$BC$13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D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56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J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42" t="inlineStr">
        <is>
          <t>Net Investment
Sep 16-30, 2026</t>
        </is>
      </c>
      <c r="BD1" s="8" t="inlineStr">
        <is>
          <t>Sector Trend</t>
        </is>
      </c>
      <c r="BE1" s="11" t="inlineStr">
        <is>
          <t>30 Days
Flow</t>
        </is>
      </c>
      <c r="BF1" s="11" t="inlineStr">
        <is>
          <t>45 Days
Flow</t>
        </is>
      </c>
      <c r="BG1" s="11" t="inlineStr">
        <is>
          <t>60 Days
Flow</t>
        </is>
      </c>
      <c r="BH1" s="11" t="inlineStr">
        <is>
          <t>75 Days
Flow</t>
        </is>
      </c>
      <c r="BI1" s="11" t="inlineStr">
        <is>
          <t>90 Days
Flow</t>
        </is>
      </c>
      <c r="BJ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  <c r="BD2" t="n"/>
      <c r="BE2" s="38">
        <f>SUM(Table22[[#This Row],[Net Investment
April 16-30, 2026]:[Net Investment
May 01-15, 2026]])</f>
        <v/>
      </c>
      <c r="BF2" s="38">
        <f>SUM(Table22[[#This Row],[Net Investment
April 01-15, 2026]:[Net Investment
May 01-15, 2026]])</f>
        <v/>
      </c>
      <c r="BG2" s="38">
        <f>SUM(Table22[[#This Row],[Net Investment
March 16-31, 2026]:[Net Investment
May 01-15, 2026]])</f>
        <v/>
      </c>
      <c r="BH2" s="38">
        <f>SUM(Table22[[#This Row],[Net Investment
March 01-15, 2026]:[Net Investment
May 01-15, 2026]])</f>
        <v/>
      </c>
      <c r="BI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  <c r="BE3" s="38">
        <f>SUM(Table22[[#This Row],[Net Investment
April 16-30, 2026]:[Net Investment
May 01-15, 2026]])</f>
        <v/>
      </c>
      <c r="BF3" s="38">
        <f>SUM(Table22[[#This Row],[Net Investment
April 01-15, 2026]:[Net Investment
May 01-15, 2026]])</f>
        <v/>
      </c>
      <c r="BG3" s="38">
        <f>SUM(Table22[[#This Row],[Net Investment
March 16-31, 2026]:[Net Investment
May 01-15, 2026]])</f>
        <v/>
      </c>
      <c r="BH3" s="38">
        <f>SUM(Table22[[#This Row],[Net Investment
March 01-15, 2026]:[Net Investment
May 01-15, 2026]])</f>
        <v/>
      </c>
      <c r="BI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  <c r="BE4" s="38">
        <f>SUM(Table22[[#This Row],[Net Investment
April 16-30, 2026]:[Net Investment
May 01-15, 2026]])</f>
        <v/>
      </c>
      <c r="BF4" s="38">
        <f>SUM(Table22[[#This Row],[Net Investment
April 01-15, 2026]:[Net Investment
May 01-15, 2026]])</f>
        <v/>
      </c>
      <c r="BG4" s="38">
        <f>SUM(Table22[[#This Row],[Net Investment
March 16-31, 2026]:[Net Investment
May 01-15, 2026]])</f>
        <v/>
      </c>
      <c r="BH4" s="38">
        <f>SUM(Table22[[#This Row],[Net Investment
March 01-15, 2026]:[Net Investment
May 01-15, 2026]])</f>
        <v/>
      </c>
      <c r="BI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  <c r="BE5" s="38">
        <f>SUM(Table22[[#This Row],[Net Investment
April 16-30, 2026]:[Net Investment
May 01-15, 2026]])</f>
        <v/>
      </c>
      <c r="BF5" s="38">
        <f>SUM(Table22[[#This Row],[Net Investment
April 01-15, 2026]:[Net Investment
May 01-15, 2026]])</f>
        <v/>
      </c>
      <c r="BG5" s="38">
        <f>SUM(Table22[[#This Row],[Net Investment
March 16-31, 2026]:[Net Investment
May 01-15, 2026]])</f>
        <v/>
      </c>
      <c r="BH5" s="38">
        <f>SUM(Table22[[#This Row],[Net Investment
March 01-15, 2026]:[Net Investment
May 01-15, 2026]])</f>
        <v/>
      </c>
      <c r="BI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  <c r="BE6" s="38">
        <f>SUM(Table22[[#This Row],[Net Investment
April 16-30, 2026]:[Net Investment
May 01-15, 2026]])</f>
        <v/>
      </c>
      <c r="BF6" s="38">
        <f>SUM(Table22[[#This Row],[Net Investment
April 01-15, 2026]:[Net Investment
May 01-15, 2026]])</f>
        <v/>
      </c>
      <c r="BG6" s="38">
        <f>SUM(Table22[[#This Row],[Net Investment
March 16-31, 2026]:[Net Investment
May 01-15, 2026]])</f>
        <v/>
      </c>
      <c r="BH6" s="38">
        <f>SUM(Table22[[#This Row],[Net Investment
March 01-15, 2026]:[Net Investment
May 01-15, 2026]])</f>
        <v/>
      </c>
      <c r="BI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  <c r="BE7" s="38">
        <f>SUM(Table22[[#This Row],[Net Investment
April 16-30, 2026]:[Net Investment
May 01-15, 2026]])</f>
        <v/>
      </c>
      <c r="BF7" s="38">
        <f>SUM(Table22[[#This Row],[Net Investment
April 01-15, 2026]:[Net Investment
May 01-15, 2026]])</f>
        <v/>
      </c>
      <c r="BG7" s="38">
        <f>SUM(Table22[[#This Row],[Net Investment
March 16-31, 2026]:[Net Investment
May 01-15, 2026]])</f>
        <v/>
      </c>
      <c r="BH7" s="38">
        <f>SUM(Table22[[#This Row],[Net Investment
March 01-15, 2026]:[Net Investment
May 01-15, 2026]])</f>
        <v/>
      </c>
      <c r="BI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  <c r="BE8" s="38">
        <f>SUM(Table22[[#This Row],[Net Investment
April 16-30, 2026]:[Net Investment
May 01-15, 2026]])</f>
        <v/>
      </c>
      <c r="BF8" s="38">
        <f>SUM(Table22[[#This Row],[Net Investment
April 01-15, 2026]:[Net Investment
May 01-15, 2026]])</f>
        <v/>
      </c>
      <c r="BG8" s="38">
        <f>SUM(Table22[[#This Row],[Net Investment
March 16-31, 2026]:[Net Investment
May 01-15, 2026]])</f>
        <v/>
      </c>
      <c r="BH8" s="38">
        <f>SUM(Table22[[#This Row],[Net Investment
March 01-15, 2026]:[Net Investment
May 01-15, 2026]])</f>
        <v/>
      </c>
      <c r="BI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  <c r="BE9" s="38">
        <f>SUM(Table22[[#This Row],[Net Investment
April 16-30, 2026]:[Net Investment
May 01-15, 2026]])</f>
        <v/>
      </c>
      <c r="BF9" s="38">
        <f>SUM(Table22[[#This Row],[Net Investment
April 01-15, 2026]:[Net Investment
May 01-15, 2026]])</f>
        <v/>
      </c>
      <c r="BG9" s="38">
        <f>SUM(Table22[[#This Row],[Net Investment
March 16-31, 2026]:[Net Investment
May 01-15, 2026]])</f>
        <v/>
      </c>
      <c r="BH9" s="38">
        <f>SUM(Table22[[#This Row],[Net Investment
March 01-15, 2026]:[Net Investment
May 01-15, 2026]])</f>
        <v/>
      </c>
      <c r="BI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  <c r="BE10" s="38">
        <f>SUM(Table22[[#This Row],[Net Investment
April 16-30, 2026]:[Net Investment
May 01-15, 2026]])</f>
        <v/>
      </c>
      <c r="BF10" s="38">
        <f>SUM(Table22[[#This Row],[Net Investment
April 01-15, 2026]:[Net Investment
May 01-15, 2026]])</f>
        <v/>
      </c>
      <c r="BG10" s="38">
        <f>SUM(Table22[[#This Row],[Net Investment
March 16-31, 2026]:[Net Investment
May 01-15, 2026]])</f>
        <v/>
      </c>
      <c r="BH10" s="38">
        <f>SUM(Table22[[#This Row],[Net Investment
March 01-15, 2026]:[Net Investment
May 01-15, 2026]])</f>
        <v/>
      </c>
      <c r="BI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  <c r="BE11" s="38">
        <f>SUM(Table22[[#This Row],[Net Investment
April 16-30, 2026]:[Net Investment
May 01-15, 2026]])</f>
        <v/>
      </c>
      <c r="BF11" s="38">
        <f>SUM(Table22[[#This Row],[Net Investment
April 01-15, 2026]:[Net Investment
May 01-15, 2026]])</f>
        <v/>
      </c>
      <c r="BG11" s="38">
        <f>SUM(Table22[[#This Row],[Net Investment
March 16-31, 2026]:[Net Investment
May 01-15, 2026]])</f>
        <v/>
      </c>
      <c r="BH11" s="38">
        <f>SUM(Table22[[#This Row],[Net Investment
March 01-15, 2026]:[Net Investment
May 01-15, 2026]])</f>
        <v/>
      </c>
      <c r="BI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  <c r="BE12" s="38">
        <f>SUM(Table22[[#This Row],[Net Investment
April 16-30, 2026]:[Net Investment
May 01-15, 2026]])</f>
        <v/>
      </c>
      <c r="BF12" s="38">
        <f>SUM(Table22[[#This Row],[Net Investment
April 01-15, 2026]:[Net Investment
May 01-15, 2026]])</f>
        <v/>
      </c>
      <c r="BG12" s="38">
        <f>SUM(Table22[[#This Row],[Net Investment
March 16-31, 2026]:[Net Investment
May 01-15, 2026]])</f>
        <v/>
      </c>
      <c r="BH12" s="38">
        <f>SUM(Table22[[#This Row],[Net Investment
March 01-15, 2026]:[Net Investment
May 01-15, 2026]])</f>
        <v/>
      </c>
      <c r="BI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  <c r="BE13" s="38">
        <f>SUM(Table22[[#This Row],[Net Investment
April 16-30, 2026]:[Net Investment
May 01-15, 2026]])</f>
        <v/>
      </c>
      <c r="BF13" s="38">
        <f>SUM(Table22[[#This Row],[Net Investment
April 01-15, 2026]:[Net Investment
May 01-15, 2026]])</f>
        <v/>
      </c>
      <c r="BG13" s="38">
        <f>SUM(Table22[[#This Row],[Net Investment
March 16-31, 2026]:[Net Investment
May 01-15, 2026]])</f>
        <v/>
      </c>
      <c r="BH13" s="38">
        <f>SUM(Table22[[#This Row],[Net Investment
March 01-15, 2026]:[Net Investment
May 01-15, 2026]])</f>
        <v/>
      </c>
      <c r="BI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  <c r="BE14" s="38">
        <f>SUM(Table22[[#This Row],[Net Investment
April 16-30, 2026]:[Net Investment
May 01-15, 2026]])</f>
        <v/>
      </c>
      <c r="BF14" s="38">
        <f>SUM(Table22[[#This Row],[Net Investment
April 01-15, 2026]:[Net Investment
May 01-15, 2026]])</f>
        <v/>
      </c>
      <c r="BG14" s="38">
        <f>SUM(Table22[[#This Row],[Net Investment
March 16-31, 2026]:[Net Investment
May 01-15, 2026]])</f>
        <v/>
      </c>
      <c r="BH14" s="38">
        <f>SUM(Table22[[#This Row],[Net Investment
March 01-15, 2026]:[Net Investment
May 01-15, 2026]])</f>
        <v/>
      </c>
      <c r="BI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  <c r="BE15" s="38">
        <f>SUM(Table22[[#This Row],[Net Investment
April 16-30, 2026]:[Net Investment
May 01-15, 2026]])</f>
        <v/>
      </c>
      <c r="BF15" s="38">
        <f>SUM(Table22[[#This Row],[Net Investment
April 01-15, 2026]:[Net Investment
May 01-15, 2026]])</f>
        <v/>
      </c>
      <c r="BG15" s="38">
        <f>SUM(Table22[[#This Row],[Net Investment
March 16-31, 2026]:[Net Investment
May 01-15, 2026]])</f>
        <v/>
      </c>
      <c r="BH15" s="38">
        <f>SUM(Table22[[#This Row],[Net Investment
March 01-15, 2026]:[Net Investment
May 01-15, 2026]])</f>
        <v/>
      </c>
      <c r="BI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  <c r="BE16" s="38">
        <f>SUM(Table22[[#This Row],[Net Investment
April 16-30, 2026]:[Net Investment
May 01-15, 2026]])</f>
        <v/>
      </c>
      <c r="BF16" s="38">
        <f>SUM(Table22[[#This Row],[Net Investment
April 01-15, 2026]:[Net Investment
May 01-15, 2026]])</f>
        <v/>
      </c>
      <c r="BG16" s="38">
        <f>SUM(Table22[[#This Row],[Net Investment
March 16-31, 2026]:[Net Investment
May 01-15, 2026]])</f>
        <v/>
      </c>
      <c r="BH16" s="38">
        <f>SUM(Table22[[#This Row],[Net Investment
March 01-15, 2026]:[Net Investment
May 01-15, 2026]])</f>
        <v/>
      </c>
      <c r="BI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  <c r="BE17" s="38">
        <f>SUM(Table22[[#This Row],[Net Investment
April 16-30, 2026]:[Net Investment
May 01-15, 2026]])</f>
        <v/>
      </c>
      <c r="BF17" s="38">
        <f>SUM(Table22[[#This Row],[Net Investment
April 01-15, 2026]:[Net Investment
May 01-15, 2026]])</f>
        <v/>
      </c>
      <c r="BG17" s="38">
        <f>SUM(Table22[[#This Row],[Net Investment
March 16-31, 2026]:[Net Investment
May 01-15, 2026]])</f>
        <v/>
      </c>
      <c r="BH17" s="38">
        <f>SUM(Table22[[#This Row],[Net Investment
March 01-15, 2026]:[Net Investment
May 01-15, 2026]])</f>
        <v/>
      </c>
      <c r="BI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  <c r="BE18" s="38">
        <f>SUM(Table22[[#This Row],[Net Investment
April 16-30, 2026]:[Net Investment
May 01-15, 2026]])</f>
        <v/>
      </c>
      <c r="BF18" s="38">
        <f>SUM(Table22[[#This Row],[Net Investment
April 01-15, 2026]:[Net Investment
May 01-15, 2026]])</f>
        <v/>
      </c>
      <c r="BG18" s="38">
        <f>SUM(Table22[[#This Row],[Net Investment
March 16-31, 2026]:[Net Investment
May 01-15, 2026]])</f>
        <v/>
      </c>
      <c r="BH18" s="38">
        <f>SUM(Table22[[#This Row],[Net Investment
March 01-15, 2026]:[Net Investment
May 01-15, 2026]])</f>
        <v/>
      </c>
      <c r="BI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  <c r="BE19" s="38">
        <f>SUM(Table22[[#This Row],[Net Investment
April 16-30, 2026]:[Net Investment
May 01-15, 2026]])</f>
        <v/>
      </c>
      <c r="BF19" s="38">
        <f>SUM(Table22[[#This Row],[Net Investment
April 01-15, 2026]:[Net Investment
May 01-15, 2026]])</f>
        <v/>
      </c>
      <c r="BG19" s="38">
        <f>SUM(Table22[[#This Row],[Net Investment
March 16-31, 2026]:[Net Investment
May 01-15, 2026]])</f>
        <v/>
      </c>
      <c r="BH19" s="38">
        <f>SUM(Table22[[#This Row],[Net Investment
March 01-15, 2026]:[Net Investment
May 01-15, 2026]])</f>
        <v/>
      </c>
      <c r="BI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  <c r="BE20" s="38">
        <f>SUM(Table22[[#This Row],[Net Investment
April 16-30, 2026]:[Net Investment
May 01-15, 2026]])</f>
        <v/>
      </c>
      <c r="BF20" s="38">
        <f>SUM(Table22[[#This Row],[Net Investment
April 01-15, 2026]:[Net Investment
May 01-15, 2026]])</f>
        <v/>
      </c>
      <c r="BG20" s="38">
        <f>SUM(Table22[[#This Row],[Net Investment
March 16-31, 2026]:[Net Investment
May 01-15, 2026]])</f>
        <v/>
      </c>
      <c r="BH20" s="38">
        <f>SUM(Table22[[#This Row],[Net Investment
March 01-15, 2026]:[Net Investment
May 01-15, 2026]])</f>
        <v/>
      </c>
      <c r="BI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C21" t="n">
        <v>-2423</v>
      </c>
      <c r="BE21" s="38">
        <f>SUM(Table22[[#This Row],[Net Investment
April 16-30, 2026]:[Net Investment
May 01-15, 2026]])</f>
        <v/>
      </c>
      <c r="BF21" s="38">
        <f>SUM(Table22[[#This Row],[Net Investment
April 01-15, 2026]:[Net Investment
May 01-15, 2026]])</f>
        <v/>
      </c>
      <c r="BG21" s="38">
        <f>SUM(Table22[[#This Row],[Net Investment
March 16-31, 2026]:[Net Investment
May 01-15, 2026]])</f>
        <v/>
      </c>
      <c r="BH21" s="38">
        <f>SUM(Table22[[#This Row],[Net Investment
March 01-15, 2026]:[Net Investment
May 01-15, 2026]])</f>
        <v/>
      </c>
      <c r="BI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C22" t="n">
        <v>636</v>
      </c>
      <c r="BE22" s="38">
        <f>SUM(Table22[[#This Row],[Net Investment
April 16-30, 2026]:[Net Investment
May 01-15, 2026]])</f>
        <v/>
      </c>
      <c r="BF22" s="38">
        <f>SUM(Table22[[#This Row],[Net Investment
April 01-15, 2026]:[Net Investment
May 01-15, 2026]])</f>
        <v/>
      </c>
      <c r="BG22" s="38">
        <f>SUM(Table22[[#This Row],[Net Investment
March 16-31, 2026]:[Net Investment
May 01-15, 2026]])</f>
        <v/>
      </c>
      <c r="BH22" s="38">
        <f>SUM(Table22[[#This Row],[Net Investment
March 01-15, 2026]:[Net Investment
May 01-15, 2026]])</f>
        <v/>
      </c>
      <c r="BI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C23" t="n">
        <v>-33</v>
      </c>
      <c r="BE23" s="38">
        <f>SUM(Table22[[#This Row],[Net Investment
April 16-30, 2026]:[Net Investment
May 01-15, 2026]])</f>
        <v/>
      </c>
      <c r="BF23" s="38">
        <f>SUM(Table22[[#This Row],[Net Investment
April 01-15, 2026]:[Net Investment
May 01-15, 2026]])</f>
        <v/>
      </c>
      <c r="BG23" s="38">
        <f>SUM(Table22[[#This Row],[Net Investment
March 16-31, 2026]:[Net Investment
May 01-15, 2026]])</f>
        <v/>
      </c>
      <c r="BH23" s="38">
        <f>SUM(Table22[[#This Row],[Net Investment
March 01-15, 2026]:[Net Investment
May 01-15, 2026]])</f>
        <v/>
      </c>
      <c r="BI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E24" s="38">
        <f>SUM(Table22[[#This Row],[Net Investment
April 16-30, 2026]:[Net Investment
May 01-15, 2026]])</f>
        <v/>
      </c>
      <c r="BF24" s="38">
        <f>SUM(Table22[[#This Row],[Net Investment
April 01-15, 2026]:[Net Investment
May 01-15, 2026]])</f>
        <v/>
      </c>
      <c r="BG24" s="38">
        <f>SUM(Table22[[#This Row],[Net Investment
March 16-31, 2026]:[Net Investment
May 01-15, 2026]])</f>
        <v/>
      </c>
      <c r="BH24" s="38">
        <f>SUM(Table22[[#This Row],[Net Investment
March 01-15, 2026]:[Net Investment
May 01-15, 2026]])</f>
        <v/>
      </c>
      <c r="BI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  <c r="BE25" s="38">
        <f>SUM(Table22[[#This Row],[Net Investment
April 16-30, 2026]:[Net Investment
May 01-15, 2026]])</f>
        <v/>
      </c>
      <c r="BF25" s="38">
        <f>SUM(Table22[[#This Row],[Net Investment
April 01-15, 2026]:[Net Investment
May 01-15, 2026]])</f>
        <v/>
      </c>
      <c r="BG25" s="38">
        <f>SUM(Table22[[#This Row],[Net Investment
March 16-31, 2026]:[Net Investment
May 01-15, 2026]])</f>
        <v/>
      </c>
      <c r="BH25" s="38">
        <f>SUM(Table22[[#This Row],[Net Investment
March 01-15, 2026]:[Net Investment
May 01-15, 2026]])</f>
        <v/>
      </c>
      <c r="BI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E26" s="38">
        <f>SUM(Table22[[#This Row],[Net Investment
April 16-30, 2026]:[Net Investment
May 01-15, 2026]])</f>
        <v/>
      </c>
      <c r="BF26" s="38">
        <f>SUM(Table22[[#This Row],[Net Investment
April 01-15, 2026]:[Net Investment
May 01-15, 2026]])</f>
        <v/>
      </c>
      <c r="BG26" s="38">
        <f>SUM(Table22[[#This Row],[Net Investment
March 16-31, 2026]:[Net Investment
May 01-15, 2026]])</f>
        <v/>
      </c>
      <c r="BH26" s="38">
        <f>SUM(Table22[[#This Row],[Net Investment
March 01-15, 2026]:[Net Investment
May 01-15, 2026]])</f>
        <v/>
      </c>
      <c r="BI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9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  <row r="1271">
      <c r="A1271" s="43" t="n">
        <v>46295</v>
      </c>
      <c r="B1271" t="inlineStr">
        <is>
          <t>Sep 16-30, 2026</t>
        </is>
      </c>
      <c r="C1271" t="inlineStr">
        <is>
          <t>Automobile and Auto Components</t>
        </is>
      </c>
      <c r="D1271" t="n">
        <v>-3542</v>
      </c>
      <c r="E1271" t="n">
        <v>0</v>
      </c>
      <c r="F1271" t="n">
        <v>-220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-3762</v>
      </c>
    </row>
    <row r="1272">
      <c r="A1272" s="43" t="n">
        <v>46295</v>
      </c>
      <c r="B1272" t="inlineStr">
        <is>
          <t>Sep 16-30, 2026</t>
        </is>
      </c>
      <c r="C1272" t="inlineStr">
        <is>
          <t>Capital Goods</t>
        </is>
      </c>
      <c r="D1272" t="n">
        <v>-1353</v>
      </c>
      <c r="E1272" t="n">
        <v>-33</v>
      </c>
      <c r="F1272" t="n">
        <v>-2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-1388</v>
      </c>
    </row>
    <row r="1273">
      <c r="A1273" s="43" t="n">
        <v>46295</v>
      </c>
      <c r="B1273" t="inlineStr">
        <is>
          <t>Sep 16-30, 2026</t>
        </is>
      </c>
      <c r="C1273" t="inlineStr">
        <is>
          <t>Chemicals</t>
        </is>
      </c>
      <c r="D1273" t="n">
        <v>-133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-133</v>
      </c>
    </row>
    <row r="1274">
      <c r="A1274" s="43" t="n">
        <v>46295</v>
      </c>
      <c r="B1274" t="inlineStr">
        <is>
          <t>Sep 16-30, 2026</t>
        </is>
      </c>
      <c r="C1274" t="inlineStr">
        <is>
          <t>Construction</t>
        </is>
      </c>
      <c r="D1274" t="n">
        <v>381</v>
      </c>
      <c r="E1274" t="n">
        <v>0</v>
      </c>
      <c r="F1274" t="n">
        <v>0</v>
      </c>
      <c r="G1274" t="n">
        <v>0</v>
      </c>
      <c r="H1274" t="n">
        <v>-1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380</v>
      </c>
    </row>
    <row r="1275">
      <c r="A1275" s="43" t="n">
        <v>46295</v>
      </c>
      <c r="B1275" t="inlineStr">
        <is>
          <t>Sep 16-30, 2026</t>
        </is>
      </c>
      <c r="C1275" t="inlineStr">
        <is>
          <t>Construction Materials</t>
        </is>
      </c>
      <c r="D1275" t="n">
        <v>-847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-847</v>
      </c>
    </row>
    <row r="1276">
      <c r="A1276" s="43" t="n">
        <v>46295</v>
      </c>
      <c r="B1276" t="inlineStr">
        <is>
          <t>Sep 16-30, 2026</t>
        </is>
      </c>
      <c r="C1276" t="inlineStr">
        <is>
          <t>Consumer Durables</t>
        </is>
      </c>
      <c r="D1276" t="n">
        <v>-1508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-1508</v>
      </c>
    </row>
    <row r="1277">
      <c r="A1277" s="43" t="n">
        <v>46295</v>
      </c>
      <c r="B1277" t="inlineStr">
        <is>
          <t>Sep 16-30, 2026</t>
        </is>
      </c>
      <c r="C1277" t="inlineStr">
        <is>
          <t>Consumer Services</t>
        </is>
      </c>
      <c r="D1277" t="n">
        <v>1911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1911</v>
      </c>
    </row>
    <row r="1278">
      <c r="A1278" s="43" t="n">
        <v>46295</v>
      </c>
      <c r="B1278" t="inlineStr">
        <is>
          <t>Sep 16-30, 2026</t>
        </is>
      </c>
      <c r="C1278" t="inlineStr">
        <is>
          <t>Diversified</t>
        </is>
      </c>
      <c r="D1278" t="n">
        <v>115</v>
      </c>
      <c r="E1278" t="n">
        <v>-12</v>
      </c>
      <c r="F1278" t="n">
        <v>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103</v>
      </c>
    </row>
    <row r="1279">
      <c r="A1279" s="43" t="n">
        <v>46295</v>
      </c>
      <c r="B1279" t="inlineStr">
        <is>
          <t>Sep 16-30, 2026</t>
        </is>
      </c>
      <c r="C1279" t="inlineStr">
        <is>
          <t>Fast Moving Consumer Goods</t>
        </is>
      </c>
      <c r="D1279" t="n">
        <v>-972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-972</v>
      </c>
    </row>
    <row r="1280">
      <c r="A1280" s="43" t="n">
        <v>46295</v>
      </c>
      <c r="B1280" t="inlineStr">
        <is>
          <t>Sep 16-30, 2026</t>
        </is>
      </c>
      <c r="C1280" t="inlineStr">
        <is>
          <t>Financial Services</t>
        </is>
      </c>
      <c r="D1280" t="n">
        <v>-6943</v>
      </c>
      <c r="E1280" t="n">
        <v>-523</v>
      </c>
      <c r="F1280" t="n">
        <v>-652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-2</v>
      </c>
      <c r="N1280" t="n">
        <v>0</v>
      </c>
      <c r="O1280" t="n">
        <v>-8120</v>
      </c>
    </row>
    <row r="1281">
      <c r="A1281" s="43" t="n">
        <v>46295</v>
      </c>
      <c r="B1281" t="inlineStr">
        <is>
          <t>Sep 16-30, 2026</t>
        </is>
      </c>
      <c r="C1281" t="inlineStr">
        <is>
          <t>Forest Materials</t>
        </is>
      </c>
      <c r="D1281" t="n">
        <v>6</v>
      </c>
      <c r="E1281" t="n">
        <v>14</v>
      </c>
      <c r="F1281" t="n">
        <v>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20</v>
      </c>
    </row>
    <row r="1282">
      <c r="A1282" s="43" t="n">
        <v>46295</v>
      </c>
      <c r="B1282" t="inlineStr">
        <is>
          <t>Sep 16-30, 2026</t>
        </is>
      </c>
      <c r="C1282" t="inlineStr">
        <is>
          <t>Healthcare</t>
        </is>
      </c>
      <c r="D1282" t="n">
        <v>3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3</v>
      </c>
    </row>
    <row r="1283">
      <c r="A1283" s="43" t="n">
        <v>46295</v>
      </c>
      <c r="B1283" t="inlineStr">
        <is>
          <t>Sep 16-30, 2026</t>
        </is>
      </c>
      <c r="C1283" t="inlineStr">
        <is>
          <t>Information Technology</t>
        </is>
      </c>
      <c r="D1283" t="n">
        <v>-38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-38</v>
      </c>
    </row>
    <row r="1284">
      <c r="A1284" s="43" t="n">
        <v>46295</v>
      </c>
      <c r="B1284" t="inlineStr">
        <is>
          <t>Sep 16-30, 2026</t>
        </is>
      </c>
      <c r="C1284" t="inlineStr">
        <is>
          <t>Media, Entertainment &amp; Publication</t>
        </is>
      </c>
      <c r="D1284" t="n">
        <v>31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31</v>
      </c>
    </row>
    <row r="1285">
      <c r="A1285" s="43" t="n">
        <v>46295</v>
      </c>
      <c r="B1285" t="inlineStr">
        <is>
          <t>Sep 16-30, 2026</t>
        </is>
      </c>
      <c r="C1285" t="inlineStr">
        <is>
          <t>Metals &amp; Mining</t>
        </is>
      </c>
      <c r="D1285" t="n">
        <v>-2322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-2322</v>
      </c>
    </row>
    <row r="1286">
      <c r="A1286" s="43" t="n">
        <v>46295</v>
      </c>
      <c r="B1286" t="inlineStr">
        <is>
          <t>Sep 16-30, 2026</t>
        </is>
      </c>
      <c r="C1286" t="inlineStr">
        <is>
          <t>Oil, Gas &amp; Consumable Fuels</t>
        </is>
      </c>
      <c r="D1286" t="n">
        <v>-4469</v>
      </c>
      <c r="E1286" t="n">
        <v>0</v>
      </c>
      <c r="F1286" t="n">
        <v>0</v>
      </c>
      <c r="G1286" t="n">
        <v>0</v>
      </c>
      <c r="H1286" t="n">
        <v>-4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-4473</v>
      </c>
    </row>
    <row r="1287">
      <c r="A1287" s="43" t="n">
        <v>46295</v>
      </c>
      <c r="B1287" t="inlineStr">
        <is>
          <t>Sep 16-30, 2026</t>
        </is>
      </c>
      <c r="C1287" t="inlineStr">
        <is>
          <t>Others</t>
        </is>
      </c>
      <c r="D1287" t="n">
        <v>-1091</v>
      </c>
      <c r="E1287" t="n">
        <v>-3180</v>
      </c>
      <c r="F1287" t="n">
        <v>-2036</v>
      </c>
      <c r="G1287" t="n">
        <v>0</v>
      </c>
      <c r="H1287" t="n">
        <v>461</v>
      </c>
      <c r="I1287" t="n">
        <v>198</v>
      </c>
      <c r="J1287" t="n">
        <v>-106</v>
      </c>
      <c r="K1287" t="n">
        <v>102</v>
      </c>
      <c r="L1287" t="n">
        <v>0</v>
      </c>
      <c r="M1287" t="n">
        <v>-84</v>
      </c>
      <c r="N1287" t="n">
        <v>0</v>
      </c>
      <c r="O1287" t="n">
        <v>-5736</v>
      </c>
    </row>
    <row r="1288">
      <c r="A1288" s="43" t="n">
        <v>46295</v>
      </c>
      <c r="B1288" t="inlineStr">
        <is>
          <t>Sep 16-30, 2026</t>
        </is>
      </c>
      <c r="C1288" t="inlineStr">
        <is>
          <t>Power</t>
        </is>
      </c>
      <c r="D1288" t="n">
        <v>-570</v>
      </c>
      <c r="E1288" t="n">
        <v>121</v>
      </c>
      <c r="F1288" t="n">
        <v>50</v>
      </c>
      <c r="G1288" t="n">
        <v>0</v>
      </c>
      <c r="H1288" t="n">
        <v>2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-397</v>
      </c>
    </row>
    <row r="1289">
      <c r="A1289" s="43" t="n">
        <v>46295</v>
      </c>
      <c r="B1289" t="inlineStr">
        <is>
          <t>Sep 16-30, 2026</t>
        </is>
      </c>
      <c r="C1289" t="inlineStr">
        <is>
          <t>Realty</t>
        </is>
      </c>
      <c r="D1289" t="n">
        <v>19</v>
      </c>
      <c r="E1289" t="n">
        <v>0</v>
      </c>
      <c r="F1289" t="n">
        <v>0</v>
      </c>
      <c r="G1289" t="n">
        <v>0</v>
      </c>
      <c r="H1289" t="n">
        <v>-107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-88</v>
      </c>
    </row>
    <row r="1290">
      <c r="A1290" s="43" t="n">
        <v>46295</v>
      </c>
      <c r="B1290" t="inlineStr">
        <is>
          <t>Sep 16-30, 2026</t>
        </is>
      </c>
      <c r="C1290" t="inlineStr">
        <is>
          <t>Services</t>
        </is>
      </c>
      <c r="D1290" t="n">
        <v>1397</v>
      </c>
      <c r="E1290" t="n">
        <v>-493</v>
      </c>
      <c r="F1290" t="n">
        <v>-1350</v>
      </c>
      <c r="G1290" t="n">
        <v>0</v>
      </c>
      <c r="H1290" t="n">
        <v>-8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-454</v>
      </c>
    </row>
    <row r="1291">
      <c r="A1291" s="43" t="n">
        <v>46295</v>
      </c>
      <c r="B1291" t="inlineStr">
        <is>
          <t>Sep 16-30, 2026</t>
        </is>
      </c>
      <c r="C1291" t="inlineStr">
        <is>
          <t>Sovereign</t>
        </is>
      </c>
      <c r="D1291" t="n">
        <v>0</v>
      </c>
      <c r="E1291" t="n">
        <v>-105</v>
      </c>
      <c r="F1291" t="n">
        <v>-297</v>
      </c>
      <c r="G1291" t="n">
        <v>-4347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-4749</v>
      </c>
    </row>
    <row r="1292">
      <c r="A1292" s="43" t="n">
        <v>46295</v>
      </c>
      <c r="B1292" t="inlineStr">
        <is>
          <t>Sep 16-30, 2026</t>
        </is>
      </c>
      <c r="C1292" t="inlineStr">
        <is>
          <t>Telecommunication</t>
        </is>
      </c>
      <c r="D1292" t="n">
        <v>-2423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-2423</v>
      </c>
    </row>
    <row r="1293">
      <c r="A1293" s="43" t="n">
        <v>46295</v>
      </c>
      <c r="B1293" t="inlineStr">
        <is>
          <t>Sep 16-30, 2026</t>
        </is>
      </c>
      <c r="C1293" t="inlineStr">
        <is>
          <t>Textiles</t>
        </is>
      </c>
      <c r="D1293" t="n">
        <v>636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636</v>
      </c>
    </row>
    <row r="1294">
      <c r="A1294" s="43" t="n">
        <v>46295</v>
      </c>
      <c r="B1294" t="inlineStr">
        <is>
          <t>Sep 16-30, 2026</t>
        </is>
      </c>
      <c r="C1294" t="inlineStr">
        <is>
          <t>Utilities</t>
        </is>
      </c>
      <c r="D1294" t="n">
        <v>-33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-33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  <col width="14" customWidth="1" style="30" min="55" max="55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  <c r="BC1" s="41" t="inlineStr">
        <is>
          <t>2026-09-30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>
        <v>-3542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C3" t="n">
        <v>-1353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C4" t="n">
        <v>-133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C5" t="n">
        <v>381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C6" t="n">
        <v>-847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C7" t="n">
        <v>-1508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C8" t="n">
        <v>1911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C9" t="n">
        <v>115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C10" t="n">
        <v>-972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C11" t="n">
        <v>-6943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C12" t="n">
        <v>6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C13" t="n">
        <v>3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C14" t="n">
        <v>-38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C15" t="n">
        <v>31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C16" t="n">
        <v>-2322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C17" t="n">
        <v>-4469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C18" t="n">
        <v>-570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C19" t="n">
        <v>19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C20" t="n">
        <v>1397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  <c r="BC22" t="n">
        <v>-2423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  <c r="BC23" t="n">
        <v>636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  <c r="BC24" t="n">
        <v>-33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C25" t="n">
        <v>-1091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  <c r="BC26" s="42">
        <f>SUM(BC2:BC25)</f>
        <v/>
      </c>
    </row>
  </sheetData>
  <conditionalFormatting sqref="B2:BC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-6212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-1461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95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1311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-1205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-1905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2333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92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-3001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-13147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13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2117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-998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-62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-3003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-6854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-2223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-743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2302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-3414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646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161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-703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-7670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-7130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1371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150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1374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9340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20951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98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-5545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-3347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26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15803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6463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-261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3741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-8870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-6639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456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6489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-14122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807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86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398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-26049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-4020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-913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2746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-4614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9901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12415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119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-17848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-53973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16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5994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-7126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-950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2563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-37828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-8083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-1267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15634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-19284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731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254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2395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2026-10-08T18:56:16Z</dcterms:modified>
  <cp:lastModifiedBy>Ankit Gupta</cp:lastModifiedBy>
</cp:coreProperties>
</file>