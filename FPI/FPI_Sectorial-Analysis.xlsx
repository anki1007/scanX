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Wide'!$AV$11</f>
            </numRef>
          </val>
        </ser>
        <ser>
          <idx val="47"/>
          <order val="47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Wide'!$AV$14</f>
            </numRef>
          </val>
        </ser>
        <ser>
          <idx val="95"/>
          <order val="9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Wide'!$AV$17</f>
            </numRef>
          </val>
        </ser>
        <ser>
          <idx val="143"/>
          <order val="143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Wide'!$AR$10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Wide'!$AT$10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Wide'!$AU$10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Wide'!$AV$10</f>
            </numRef>
          </val>
        </ser>
        <ser>
          <idx val="191"/>
          <order val="191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Wide'!$AW$10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</f>
            </numRef>
          </val>
        </ser>
        <ser>
          <idx val="239"/>
          <order val="23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Wide'!$AP$22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Wide'!$AR$22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Wide'!$AS$22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Wide'!$AT$22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Wide'!$AU$22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Wide'!$AV$22</f>
            </numRef>
          </val>
        </ser>
        <ser>
          <idx val="287"/>
          <order val="28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Wide'!$AW$22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Wide'!$AR$8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Wide'!$AS$8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Wide'!$AT$8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Wide'!$AU$8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Wide'!$AV$8</f>
            </numRef>
          </val>
        </ser>
        <ser>
          <idx val="335"/>
          <order val="33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Wide'!$AW$8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Wide'!$AV$3</f>
            </numRef>
          </val>
        </ser>
        <ser>
          <idx val="383"/>
          <order val="383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X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50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8" t="inlineStr">
        <is>
          <t>Sector Trend</t>
        </is>
      </c>
      <c r="AY1" s="11" t="inlineStr">
        <is>
          <t>30 Days
Flow</t>
        </is>
      </c>
      <c r="AZ1" s="11" t="inlineStr">
        <is>
          <t>45 Days
Flow</t>
        </is>
      </c>
      <c r="BA1" s="11" t="inlineStr">
        <is>
          <t>60 Days
Flow</t>
        </is>
      </c>
      <c r="BB1" s="11" t="inlineStr">
        <is>
          <t>75 Days
Flow</t>
        </is>
      </c>
      <c r="BC1" s="11" t="inlineStr">
        <is>
          <t>90 Days
Flow</t>
        </is>
      </c>
      <c r="BD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/>
      <c r="AY2" s="38">
        <f>SUM(Table22[[#This Row],[Net Investment
April 16-30, 2026]:[Net Investment
May 01-15, 2026]])</f>
        <v/>
      </c>
      <c r="AZ2" s="38">
        <f>SUM(Table22[[#This Row],[Net Investment
April 01-15, 2026]:[Net Investment
May 01-15, 2026]])</f>
        <v/>
      </c>
      <c r="BA2" s="38">
        <f>SUM(Table22[[#This Row],[Net Investment
March 16-31, 2026]:[Net Investment
May 01-15, 2026]])</f>
        <v/>
      </c>
      <c r="BB2" s="38">
        <f>SUM(Table22[[#This Row],[Net Investment
March 01-15, 2026]:[Net Investment
May 01-15, 2026]])</f>
        <v/>
      </c>
      <c r="BC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Y3" s="38">
        <f>SUM(Table22[[#This Row],[Net Investment
April 16-30, 2026]:[Net Investment
May 01-15, 2026]])</f>
        <v/>
      </c>
      <c r="AZ3" s="38">
        <f>SUM(Table22[[#This Row],[Net Investment
April 01-15, 2026]:[Net Investment
May 01-15, 2026]])</f>
        <v/>
      </c>
      <c r="BA3" s="38">
        <f>SUM(Table22[[#This Row],[Net Investment
March 16-31, 2026]:[Net Investment
May 01-15, 2026]])</f>
        <v/>
      </c>
      <c r="BB3" s="38">
        <f>SUM(Table22[[#This Row],[Net Investment
March 01-15, 2026]:[Net Investment
May 01-15, 2026]])</f>
        <v/>
      </c>
      <c r="BC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Y4" s="38">
        <f>SUM(Table22[[#This Row],[Net Investment
April 16-30, 2026]:[Net Investment
May 01-15, 2026]])</f>
        <v/>
      </c>
      <c r="AZ4" s="38">
        <f>SUM(Table22[[#This Row],[Net Investment
April 01-15, 2026]:[Net Investment
May 01-15, 2026]])</f>
        <v/>
      </c>
      <c r="BA4" s="38">
        <f>SUM(Table22[[#This Row],[Net Investment
March 16-31, 2026]:[Net Investment
May 01-15, 2026]])</f>
        <v/>
      </c>
      <c r="BB4" s="38">
        <f>SUM(Table22[[#This Row],[Net Investment
March 01-15, 2026]:[Net Investment
May 01-15, 2026]])</f>
        <v/>
      </c>
      <c r="BC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Y5" s="38">
        <f>SUM(Table22[[#This Row],[Net Investment
April 16-30, 2026]:[Net Investment
May 01-15, 2026]])</f>
        <v/>
      </c>
      <c r="AZ5" s="38">
        <f>SUM(Table22[[#This Row],[Net Investment
April 01-15, 2026]:[Net Investment
May 01-15, 2026]])</f>
        <v/>
      </c>
      <c r="BA5" s="38">
        <f>SUM(Table22[[#This Row],[Net Investment
March 16-31, 2026]:[Net Investment
May 01-15, 2026]])</f>
        <v/>
      </c>
      <c r="BB5" s="38">
        <f>SUM(Table22[[#This Row],[Net Investment
March 01-15, 2026]:[Net Investment
May 01-15, 2026]])</f>
        <v/>
      </c>
      <c r="BC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Y6" s="38">
        <f>SUM(Table22[[#This Row],[Net Investment
April 16-30, 2026]:[Net Investment
May 01-15, 2026]])</f>
        <v/>
      </c>
      <c r="AZ6" s="38">
        <f>SUM(Table22[[#This Row],[Net Investment
April 01-15, 2026]:[Net Investment
May 01-15, 2026]])</f>
        <v/>
      </c>
      <c r="BA6" s="38">
        <f>SUM(Table22[[#This Row],[Net Investment
March 16-31, 2026]:[Net Investment
May 01-15, 2026]])</f>
        <v/>
      </c>
      <c r="BB6" s="38">
        <f>SUM(Table22[[#This Row],[Net Investment
March 01-15, 2026]:[Net Investment
May 01-15, 2026]])</f>
        <v/>
      </c>
      <c r="BC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Y7" s="38">
        <f>SUM(Table22[[#This Row],[Net Investment
April 16-30, 2026]:[Net Investment
May 01-15, 2026]])</f>
        <v/>
      </c>
      <c r="AZ7" s="38">
        <f>SUM(Table22[[#This Row],[Net Investment
April 01-15, 2026]:[Net Investment
May 01-15, 2026]])</f>
        <v/>
      </c>
      <c r="BA7" s="38">
        <f>SUM(Table22[[#This Row],[Net Investment
March 16-31, 2026]:[Net Investment
May 01-15, 2026]])</f>
        <v/>
      </c>
      <c r="BB7" s="38">
        <f>SUM(Table22[[#This Row],[Net Investment
March 01-15, 2026]:[Net Investment
May 01-15, 2026]])</f>
        <v/>
      </c>
      <c r="BC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Y8" s="38">
        <f>SUM(Table22[[#This Row],[Net Investment
April 16-30, 2026]:[Net Investment
May 01-15, 2026]])</f>
        <v/>
      </c>
      <c r="AZ8" s="38">
        <f>SUM(Table22[[#This Row],[Net Investment
April 01-15, 2026]:[Net Investment
May 01-15, 2026]])</f>
        <v/>
      </c>
      <c r="BA8" s="38">
        <f>SUM(Table22[[#This Row],[Net Investment
March 16-31, 2026]:[Net Investment
May 01-15, 2026]])</f>
        <v/>
      </c>
      <c r="BB8" s="38">
        <f>SUM(Table22[[#This Row],[Net Investment
March 01-15, 2026]:[Net Investment
May 01-15, 2026]])</f>
        <v/>
      </c>
      <c r="BC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Y9" s="38">
        <f>SUM(Table22[[#This Row],[Net Investment
April 16-30, 2026]:[Net Investment
May 01-15, 2026]])</f>
        <v/>
      </c>
      <c r="AZ9" s="38">
        <f>SUM(Table22[[#This Row],[Net Investment
April 01-15, 2026]:[Net Investment
May 01-15, 2026]])</f>
        <v/>
      </c>
      <c r="BA9" s="38">
        <f>SUM(Table22[[#This Row],[Net Investment
March 16-31, 2026]:[Net Investment
May 01-15, 2026]])</f>
        <v/>
      </c>
      <c r="BB9" s="38">
        <f>SUM(Table22[[#This Row],[Net Investment
March 01-15, 2026]:[Net Investment
May 01-15, 2026]])</f>
        <v/>
      </c>
      <c r="BC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Y10" s="38">
        <f>SUM(Table22[[#This Row],[Net Investment
April 16-30, 2026]:[Net Investment
May 01-15, 2026]])</f>
        <v/>
      </c>
      <c r="AZ10" s="38">
        <f>SUM(Table22[[#This Row],[Net Investment
April 01-15, 2026]:[Net Investment
May 01-15, 2026]])</f>
        <v/>
      </c>
      <c r="BA10" s="38">
        <f>SUM(Table22[[#This Row],[Net Investment
March 16-31, 2026]:[Net Investment
May 01-15, 2026]])</f>
        <v/>
      </c>
      <c r="BB10" s="38">
        <f>SUM(Table22[[#This Row],[Net Investment
March 01-15, 2026]:[Net Investment
May 01-15, 2026]])</f>
        <v/>
      </c>
      <c r="BC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Y11" s="38">
        <f>SUM(Table22[[#This Row],[Net Investment
April 16-30, 2026]:[Net Investment
May 01-15, 2026]])</f>
        <v/>
      </c>
      <c r="AZ11" s="38">
        <f>SUM(Table22[[#This Row],[Net Investment
April 01-15, 2026]:[Net Investment
May 01-15, 2026]])</f>
        <v/>
      </c>
      <c r="BA11" s="38">
        <f>SUM(Table22[[#This Row],[Net Investment
March 16-31, 2026]:[Net Investment
May 01-15, 2026]])</f>
        <v/>
      </c>
      <c r="BB11" s="38">
        <f>SUM(Table22[[#This Row],[Net Investment
March 01-15, 2026]:[Net Investment
May 01-15, 2026]])</f>
        <v/>
      </c>
      <c r="BC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Y12" s="38">
        <f>SUM(Table22[[#This Row],[Net Investment
April 16-30, 2026]:[Net Investment
May 01-15, 2026]])</f>
        <v/>
      </c>
      <c r="AZ12" s="38">
        <f>SUM(Table22[[#This Row],[Net Investment
April 01-15, 2026]:[Net Investment
May 01-15, 2026]])</f>
        <v/>
      </c>
      <c r="BA12" s="38">
        <f>SUM(Table22[[#This Row],[Net Investment
March 16-31, 2026]:[Net Investment
May 01-15, 2026]])</f>
        <v/>
      </c>
      <c r="BB12" s="38">
        <f>SUM(Table22[[#This Row],[Net Investment
March 01-15, 2026]:[Net Investment
May 01-15, 2026]])</f>
        <v/>
      </c>
      <c r="BC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Y13" s="38">
        <f>SUM(Table22[[#This Row],[Net Investment
April 16-30, 2026]:[Net Investment
May 01-15, 2026]])</f>
        <v/>
      </c>
      <c r="AZ13" s="38">
        <f>SUM(Table22[[#This Row],[Net Investment
April 01-15, 2026]:[Net Investment
May 01-15, 2026]])</f>
        <v/>
      </c>
      <c r="BA13" s="38">
        <f>SUM(Table22[[#This Row],[Net Investment
March 16-31, 2026]:[Net Investment
May 01-15, 2026]])</f>
        <v/>
      </c>
      <c r="BB13" s="38">
        <f>SUM(Table22[[#This Row],[Net Investment
March 01-15, 2026]:[Net Investment
May 01-15, 2026]])</f>
        <v/>
      </c>
      <c r="BC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Y14" s="38">
        <f>SUM(Table22[[#This Row],[Net Investment
April 16-30, 2026]:[Net Investment
May 01-15, 2026]])</f>
        <v/>
      </c>
      <c r="AZ14" s="38">
        <f>SUM(Table22[[#This Row],[Net Investment
April 01-15, 2026]:[Net Investment
May 01-15, 2026]])</f>
        <v/>
      </c>
      <c r="BA14" s="38">
        <f>SUM(Table22[[#This Row],[Net Investment
March 16-31, 2026]:[Net Investment
May 01-15, 2026]])</f>
        <v/>
      </c>
      <c r="BB14" s="38">
        <f>SUM(Table22[[#This Row],[Net Investment
March 01-15, 2026]:[Net Investment
May 01-15, 2026]])</f>
        <v/>
      </c>
      <c r="BC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Y15" s="38">
        <f>SUM(Table22[[#This Row],[Net Investment
April 16-30, 2026]:[Net Investment
May 01-15, 2026]])</f>
        <v/>
      </c>
      <c r="AZ15" s="38">
        <f>SUM(Table22[[#This Row],[Net Investment
April 01-15, 2026]:[Net Investment
May 01-15, 2026]])</f>
        <v/>
      </c>
      <c r="BA15" s="38">
        <f>SUM(Table22[[#This Row],[Net Investment
March 16-31, 2026]:[Net Investment
May 01-15, 2026]])</f>
        <v/>
      </c>
      <c r="BB15" s="38">
        <f>SUM(Table22[[#This Row],[Net Investment
March 01-15, 2026]:[Net Investment
May 01-15, 2026]])</f>
        <v/>
      </c>
      <c r="BC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Y16" s="38">
        <f>SUM(Table22[[#This Row],[Net Investment
April 16-30, 2026]:[Net Investment
May 01-15, 2026]])</f>
        <v/>
      </c>
      <c r="AZ16" s="38">
        <f>SUM(Table22[[#This Row],[Net Investment
April 01-15, 2026]:[Net Investment
May 01-15, 2026]])</f>
        <v/>
      </c>
      <c r="BA16" s="38">
        <f>SUM(Table22[[#This Row],[Net Investment
March 16-31, 2026]:[Net Investment
May 01-15, 2026]])</f>
        <v/>
      </c>
      <c r="BB16" s="38">
        <f>SUM(Table22[[#This Row],[Net Investment
March 01-15, 2026]:[Net Investment
May 01-15, 2026]])</f>
        <v/>
      </c>
      <c r="BC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Y17" s="38">
        <f>SUM(Table22[[#This Row],[Net Investment
April 16-30, 2026]:[Net Investment
May 01-15, 2026]])</f>
        <v/>
      </c>
      <c r="AZ17" s="38">
        <f>SUM(Table22[[#This Row],[Net Investment
April 01-15, 2026]:[Net Investment
May 01-15, 2026]])</f>
        <v/>
      </c>
      <c r="BA17" s="38">
        <f>SUM(Table22[[#This Row],[Net Investment
March 16-31, 2026]:[Net Investment
May 01-15, 2026]])</f>
        <v/>
      </c>
      <c r="BB17" s="38">
        <f>SUM(Table22[[#This Row],[Net Investment
March 01-15, 2026]:[Net Investment
May 01-15, 2026]])</f>
        <v/>
      </c>
      <c r="BC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Y18" s="38">
        <f>SUM(Table22[[#This Row],[Net Investment
April 16-30, 2026]:[Net Investment
May 01-15, 2026]])</f>
        <v/>
      </c>
      <c r="AZ18" s="38">
        <f>SUM(Table22[[#This Row],[Net Investment
April 01-15, 2026]:[Net Investment
May 01-15, 2026]])</f>
        <v/>
      </c>
      <c r="BA18" s="38">
        <f>SUM(Table22[[#This Row],[Net Investment
March 16-31, 2026]:[Net Investment
May 01-15, 2026]])</f>
        <v/>
      </c>
      <c r="BB18" s="38">
        <f>SUM(Table22[[#This Row],[Net Investment
March 01-15, 2026]:[Net Investment
May 01-15, 2026]])</f>
        <v/>
      </c>
      <c r="BC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Y19" s="38">
        <f>SUM(Table22[[#This Row],[Net Investment
April 16-30, 2026]:[Net Investment
May 01-15, 2026]])</f>
        <v/>
      </c>
      <c r="AZ19" s="38">
        <f>SUM(Table22[[#This Row],[Net Investment
April 01-15, 2026]:[Net Investment
May 01-15, 2026]])</f>
        <v/>
      </c>
      <c r="BA19" s="38">
        <f>SUM(Table22[[#This Row],[Net Investment
March 16-31, 2026]:[Net Investment
May 01-15, 2026]])</f>
        <v/>
      </c>
      <c r="BB19" s="38">
        <f>SUM(Table22[[#This Row],[Net Investment
March 01-15, 2026]:[Net Investment
May 01-15, 2026]])</f>
        <v/>
      </c>
      <c r="BC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Y20" s="38">
        <f>SUM(Table22[[#This Row],[Net Investment
April 16-30, 2026]:[Net Investment
May 01-15, 2026]])</f>
        <v/>
      </c>
      <c r="AZ20" s="38">
        <f>SUM(Table22[[#This Row],[Net Investment
April 01-15, 2026]:[Net Investment
May 01-15, 2026]])</f>
        <v/>
      </c>
      <c r="BA20" s="38">
        <f>SUM(Table22[[#This Row],[Net Investment
March 16-31, 2026]:[Net Investment
May 01-15, 2026]])</f>
        <v/>
      </c>
      <c r="BB20" s="38">
        <f>SUM(Table22[[#This Row],[Net Investment
March 01-15, 2026]:[Net Investment
May 01-15, 2026]])</f>
        <v/>
      </c>
      <c r="BC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Y21" s="38">
        <f>SUM(Table22[[#This Row],[Net Investment
April 16-30, 2026]:[Net Investment
May 01-15, 2026]])</f>
        <v/>
      </c>
      <c r="AZ21" s="38">
        <f>SUM(Table22[[#This Row],[Net Investment
April 01-15, 2026]:[Net Investment
May 01-15, 2026]])</f>
        <v/>
      </c>
      <c r="BA21" s="38">
        <f>SUM(Table22[[#This Row],[Net Investment
March 16-31, 2026]:[Net Investment
May 01-15, 2026]])</f>
        <v/>
      </c>
      <c r="BB21" s="38">
        <f>SUM(Table22[[#This Row],[Net Investment
March 01-15, 2026]:[Net Investment
May 01-15, 2026]])</f>
        <v/>
      </c>
      <c r="BC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Y22" s="38">
        <f>SUM(Table22[[#This Row],[Net Investment
April 16-30, 2026]:[Net Investment
May 01-15, 2026]])</f>
        <v/>
      </c>
      <c r="AZ22" s="38">
        <f>SUM(Table22[[#This Row],[Net Investment
April 01-15, 2026]:[Net Investment
May 01-15, 2026]])</f>
        <v/>
      </c>
      <c r="BA22" s="38">
        <f>SUM(Table22[[#This Row],[Net Investment
March 16-31, 2026]:[Net Investment
May 01-15, 2026]])</f>
        <v/>
      </c>
      <c r="BB22" s="38">
        <f>SUM(Table22[[#This Row],[Net Investment
March 01-15, 2026]:[Net Investment
May 01-15, 2026]])</f>
        <v/>
      </c>
      <c r="BC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Y23" s="38">
        <f>SUM(Table22[[#This Row],[Net Investment
April 16-30, 2026]:[Net Investment
May 01-15, 2026]])</f>
        <v/>
      </c>
      <c r="AZ23" s="38">
        <f>SUM(Table22[[#This Row],[Net Investment
April 01-15, 2026]:[Net Investment
May 01-15, 2026]])</f>
        <v/>
      </c>
      <c r="BA23" s="38">
        <f>SUM(Table22[[#This Row],[Net Investment
March 16-31, 2026]:[Net Investment
May 01-15, 2026]])</f>
        <v/>
      </c>
      <c r="BB23" s="38">
        <f>SUM(Table22[[#This Row],[Net Investment
March 01-15, 2026]:[Net Investment
May 01-15, 2026]])</f>
        <v/>
      </c>
      <c r="BC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Y24" s="38">
        <f>SUM(Table22[[#This Row],[Net Investment
April 16-30, 2026]:[Net Investment
May 01-15, 2026]])</f>
        <v/>
      </c>
      <c r="AZ24" s="38">
        <f>SUM(Table22[[#This Row],[Net Investment
April 01-15, 2026]:[Net Investment
May 01-15, 2026]])</f>
        <v/>
      </c>
      <c r="BA24" s="38">
        <f>SUM(Table22[[#This Row],[Net Investment
March 16-31, 2026]:[Net Investment
May 01-15, 2026]])</f>
        <v/>
      </c>
      <c r="BB24" s="38">
        <f>SUM(Table22[[#This Row],[Net Investment
March 01-15, 2026]:[Net Investment
May 01-15, 2026]])</f>
        <v/>
      </c>
      <c r="BC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Y25" s="38">
        <f>SUM(Table22[[#This Row],[Net Investment
April 16-30, 2026]:[Net Investment
May 01-15, 2026]])</f>
        <v/>
      </c>
      <c r="AZ25" s="38">
        <f>SUM(Table22[[#This Row],[Net Investment
April 01-15, 2026]:[Net Investment
May 01-15, 2026]])</f>
        <v/>
      </c>
      <c r="BA25" s="38">
        <f>SUM(Table22[[#This Row],[Net Investment
March 16-31, 2026]:[Net Investment
May 01-15, 2026]])</f>
        <v/>
      </c>
      <c r="BB25" s="38">
        <f>SUM(Table22[[#This Row],[Net Investment
March 01-15, 2026]:[Net Investment
May 01-15, 2026]])</f>
        <v/>
      </c>
      <c r="BC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Y26" s="38">
        <f>SUM(Table22[[#This Row],[Net Investment
April 16-30, 2026]:[Net Investment
May 01-15, 2026]])</f>
        <v/>
      </c>
      <c r="AZ26" s="38">
        <f>SUM(Table22[[#This Row],[Net Investment
April 01-15, 2026]:[Net Investment
May 01-15, 2026]])</f>
        <v/>
      </c>
      <c r="BA26" s="38">
        <f>SUM(Table22[[#This Row],[Net Investment
March 16-31, 2026]:[Net Investment
May 01-15, 2026]])</f>
        <v/>
      </c>
      <c r="BB26" s="38">
        <f>SUM(Table22[[#This Row],[Net Investment
March 01-15, 2026]:[Net Investment
May 01-15, 2026]])</f>
        <v/>
      </c>
      <c r="BC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W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</row>
  </sheetData>
  <conditionalFormatting sqref="B2:AW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-18379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3110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-2284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2596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-5988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561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-8536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-12303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-50626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-9809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-13589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-689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-1178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-28958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-1444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-1723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-5162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-76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168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2026-07-18T11:45:45Z</dcterms:modified>
  <cp:lastModifiedBy>Ankit Gupta</cp:lastModifiedBy>
</cp:coreProperties>
</file>