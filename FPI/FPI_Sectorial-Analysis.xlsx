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Wide'!$BB$11</f>
            </numRef>
          </val>
        </ser>
        <ser>
          <idx val="53"/>
          <order val="53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Wide'!$BC$11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Wide'!$BB$14</f>
            </numRef>
          </val>
        </ser>
        <ser>
          <idx val="107"/>
          <order val="10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Wide'!$BB$17</f>
            </numRef>
          </val>
        </ser>
        <ser>
          <idx val="161"/>
          <order val="161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</f>
            </numRef>
          </val>
        </ser>
        <ser>
          <idx val="215"/>
          <order val="21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Wide'!$BB$10</f>
            </numRef>
          </val>
        </ser>
        <ser>
          <idx val="269"/>
          <order val="26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Wide'!$BB$8</f>
            </numRef>
          </val>
        </ser>
        <ser>
          <idx val="323"/>
          <order val="32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Wide'!$BB$22</f>
            </numRef>
          </val>
        </ser>
        <ser>
          <idx val="377"/>
          <order val="37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Wide'!$BB$13</f>
            </numRef>
          </val>
        </ser>
        <ser>
          <idx val="431"/>
          <order val="43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D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8" t="inlineStr">
        <is>
          <t>Sector Trend</t>
        </is>
      </c>
      <c r="BE1" s="11" t="inlineStr">
        <is>
          <t>30 Days
Flow</t>
        </is>
      </c>
      <c r="BF1" s="11" t="inlineStr">
        <is>
          <t>45 Days
Flow</t>
        </is>
      </c>
      <c r="BG1" s="11" t="inlineStr">
        <is>
          <t>60 Days
Flow</t>
        </is>
      </c>
      <c r="BH1" s="11" t="inlineStr">
        <is>
          <t>75 Days
Flow</t>
        </is>
      </c>
      <c r="BI1" s="11" t="inlineStr">
        <is>
          <t>90 Days
Flow</t>
        </is>
      </c>
      <c r="BJ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/>
      <c r="BE2" s="38">
        <f>SUM(Table22[[#This Row],[Net Investment
April 16-30, 2026]:[Net Investment
May 01-15, 2026]])</f>
        <v/>
      </c>
      <c r="BF2" s="38">
        <f>SUM(Table22[[#This Row],[Net Investment
April 01-15, 2026]:[Net Investment
May 01-15, 2026]])</f>
        <v/>
      </c>
      <c r="BG2" s="38">
        <f>SUM(Table22[[#This Row],[Net Investment
March 16-31, 2026]:[Net Investment
May 01-15, 2026]])</f>
        <v/>
      </c>
      <c r="BH2" s="38">
        <f>SUM(Table22[[#This Row],[Net Investment
March 01-15, 2026]:[Net Investment
May 01-15, 2026]])</f>
        <v/>
      </c>
      <c r="BI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E3" s="38">
        <f>SUM(Table22[[#This Row],[Net Investment
April 16-30, 2026]:[Net Investment
May 01-15, 2026]])</f>
        <v/>
      </c>
      <c r="BF3" s="38">
        <f>SUM(Table22[[#This Row],[Net Investment
April 01-15, 2026]:[Net Investment
May 01-15, 2026]])</f>
        <v/>
      </c>
      <c r="BG3" s="38">
        <f>SUM(Table22[[#This Row],[Net Investment
March 16-31, 2026]:[Net Investment
May 01-15, 2026]])</f>
        <v/>
      </c>
      <c r="BH3" s="38">
        <f>SUM(Table22[[#This Row],[Net Investment
March 01-15, 2026]:[Net Investment
May 01-15, 2026]])</f>
        <v/>
      </c>
      <c r="BI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E4" s="38">
        <f>SUM(Table22[[#This Row],[Net Investment
April 16-30, 2026]:[Net Investment
May 01-15, 2026]])</f>
        <v/>
      </c>
      <c r="BF4" s="38">
        <f>SUM(Table22[[#This Row],[Net Investment
April 01-15, 2026]:[Net Investment
May 01-15, 2026]])</f>
        <v/>
      </c>
      <c r="BG4" s="38">
        <f>SUM(Table22[[#This Row],[Net Investment
March 16-31, 2026]:[Net Investment
May 01-15, 2026]])</f>
        <v/>
      </c>
      <c r="BH4" s="38">
        <f>SUM(Table22[[#This Row],[Net Investment
March 01-15, 2026]:[Net Investment
May 01-15, 2026]])</f>
        <v/>
      </c>
      <c r="BI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E5" s="38">
        <f>SUM(Table22[[#This Row],[Net Investment
April 16-30, 2026]:[Net Investment
May 01-15, 2026]])</f>
        <v/>
      </c>
      <c r="BF5" s="38">
        <f>SUM(Table22[[#This Row],[Net Investment
April 01-15, 2026]:[Net Investment
May 01-15, 2026]])</f>
        <v/>
      </c>
      <c r="BG5" s="38">
        <f>SUM(Table22[[#This Row],[Net Investment
March 16-31, 2026]:[Net Investment
May 01-15, 2026]])</f>
        <v/>
      </c>
      <c r="BH5" s="38">
        <f>SUM(Table22[[#This Row],[Net Investment
March 01-15, 2026]:[Net Investment
May 01-15, 2026]])</f>
        <v/>
      </c>
      <c r="BI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E6" s="38">
        <f>SUM(Table22[[#This Row],[Net Investment
April 16-30, 2026]:[Net Investment
May 01-15, 2026]])</f>
        <v/>
      </c>
      <c r="BF6" s="38">
        <f>SUM(Table22[[#This Row],[Net Investment
April 01-15, 2026]:[Net Investment
May 01-15, 2026]])</f>
        <v/>
      </c>
      <c r="BG6" s="38">
        <f>SUM(Table22[[#This Row],[Net Investment
March 16-31, 2026]:[Net Investment
May 01-15, 2026]])</f>
        <v/>
      </c>
      <c r="BH6" s="38">
        <f>SUM(Table22[[#This Row],[Net Investment
March 01-15, 2026]:[Net Investment
May 01-15, 2026]])</f>
        <v/>
      </c>
      <c r="BI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E7" s="38">
        <f>SUM(Table22[[#This Row],[Net Investment
April 16-30, 2026]:[Net Investment
May 01-15, 2026]])</f>
        <v/>
      </c>
      <c r="BF7" s="38">
        <f>SUM(Table22[[#This Row],[Net Investment
April 01-15, 2026]:[Net Investment
May 01-15, 2026]])</f>
        <v/>
      </c>
      <c r="BG7" s="38">
        <f>SUM(Table22[[#This Row],[Net Investment
March 16-31, 2026]:[Net Investment
May 01-15, 2026]])</f>
        <v/>
      </c>
      <c r="BH7" s="38">
        <f>SUM(Table22[[#This Row],[Net Investment
March 01-15, 2026]:[Net Investment
May 01-15, 2026]])</f>
        <v/>
      </c>
      <c r="BI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E8" s="38">
        <f>SUM(Table22[[#This Row],[Net Investment
April 16-30, 2026]:[Net Investment
May 01-15, 2026]])</f>
        <v/>
      </c>
      <c r="BF8" s="38">
        <f>SUM(Table22[[#This Row],[Net Investment
April 01-15, 2026]:[Net Investment
May 01-15, 2026]])</f>
        <v/>
      </c>
      <c r="BG8" s="38">
        <f>SUM(Table22[[#This Row],[Net Investment
March 16-31, 2026]:[Net Investment
May 01-15, 2026]])</f>
        <v/>
      </c>
      <c r="BH8" s="38">
        <f>SUM(Table22[[#This Row],[Net Investment
March 01-15, 2026]:[Net Investment
May 01-15, 2026]])</f>
        <v/>
      </c>
      <c r="BI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E9" s="38">
        <f>SUM(Table22[[#This Row],[Net Investment
April 16-30, 2026]:[Net Investment
May 01-15, 2026]])</f>
        <v/>
      </c>
      <c r="BF9" s="38">
        <f>SUM(Table22[[#This Row],[Net Investment
April 01-15, 2026]:[Net Investment
May 01-15, 2026]])</f>
        <v/>
      </c>
      <c r="BG9" s="38">
        <f>SUM(Table22[[#This Row],[Net Investment
March 16-31, 2026]:[Net Investment
May 01-15, 2026]])</f>
        <v/>
      </c>
      <c r="BH9" s="38">
        <f>SUM(Table22[[#This Row],[Net Investment
March 01-15, 2026]:[Net Investment
May 01-15, 2026]])</f>
        <v/>
      </c>
      <c r="BI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E10" s="38">
        <f>SUM(Table22[[#This Row],[Net Investment
April 16-30, 2026]:[Net Investment
May 01-15, 2026]])</f>
        <v/>
      </c>
      <c r="BF10" s="38">
        <f>SUM(Table22[[#This Row],[Net Investment
April 01-15, 2026]:[Net Investment
May 01-15, 2026]])</f>
        <v/>
      </c>
      <c r="BG10" s="38">
        <f>SUM(Table22[[#This Row],[Net Investment
March 16-31, 2026]:[Net Investment
May 01-15, 2026]])</f>
        <v/>
      </c>
      <c r="BH10" s="38">
        <f>SUM(Table22[[#This Row],[Net Investment
March 01-15, 2026]:[Net Investment
May 01-15, 2026]])</f>
        <v/>
      </c>
      <c r="BI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E11" s="38">
        <f>SUM(Table22[[#This Row],[Net Investment
April 16-30, 2026]:[Net Investment
May 01-15, 2026]])</f>
        <v/>
      </c>
      <c r="BF11" s="38">
        <f>SUM(Table22[[#This Row],[Net Investment
April 01-15, 2026]:[Net Investment
May 01-15, 2026]])</f>
        <v/>
      </c>
      <c r="BG11" s="38">
        <f>SUM(Table22[[#This Row],[Net Investment
March 16-31, 2026]:[Net Investment
May 01-15, 2026]])</f>
        <v/>
      </c>
      <c r="BH11" s="38">
        <f>SUM(Table22[[#This Row],[Net Investment
March 01-15, 2026]:[Net Investment
May 01-15, 2026]])</f>
        <v/>
      </c>
      <c r="BI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E12" s="38">
        <f>SUM(Table22[[#This Row],[Net Investment
April 16-30, 2026]:[Net Investment
May 01-15, 2026]])</f>
        <v/>
      </c>
      <c r="BF12" s="38">
        <f>SUM(Table22[[#This Row],[Net Investment
April 01-15, 2026]:[Net Investment
May 01-15, 2026]])</f>
        <v/>
      </c>
      <c r="BG12" s="38">
        <f>SUM(Table22[[#This Row],[Net Investment
March 16-31, 2026]:[Net Investment
May 01-15, 2026]])</f>
        <v/>
      </c>
      <c r="BH12" s="38">
        <f>SUM(Table22[[#This Row],[Net Investment
March 01-15, 2026]:[Net Investment
May 01-15, 2026]])</f>
        <v/>
      </c>
      <c r="BI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E13" s="38">
        <f>SUM(Table22[[#This Row],[Net Investment
April 16-30, 2026]:[Net Investment
May 01-15, 2026]])</f>
        <v/>
      </c>
      <c r="BF13" s="38">
        <f>SUM(Table22[[#This Row],[Net Investment
April 01-15, 2026]:[Net Investment
May 01-15, 2026]])</f>
        <v/>
      </c>
      <c r="BG13" s="38">
        <f>SUM(Table22[[#This Row],[Net Investment
March 16-31, 2026]:[Net Investment
May 01-15, 2026]])</f>
        <v/>
      </c>
      <c r="BH13" s="38">
        <f>SUM(Table22[[#This Row],[Net Investment
March 01-15, 2026]:[Net Investment
May 01-15, 2026]])</f>
        <v/>
      </c>
      <c r="BI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E14" s="38">
        <f>SUM(Table22[[#This Row],[Net Investment
April 16-30, 2026]:[Net Investment
May 01-15, 2026]])</f>
        <v/>
      </c>
      <c r="BF14" s="38">
        <f>SUM(Table22[[#This Row],[Net Investment
April 01-15, 2026]:[Net Investment
May 01-15, 2026]])</f>
        <v/>
      </c>
      <c r="BG14" s="38">
        <f>SUM(Table22[[#This Row],[Net Investment
March 16-31, 2026]:[Net Investment
May 01-15, 2026]])</f>
        <v/>
      </c>
      <c r="BH14" s="38">
        <f>SUM(Table22[[#This Row],[Net Investment
March 01-15, 2026]:[Net Investment
May 01-15, 2026]])</f>
        <v/>
      </c>
      <c r="BI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E15" s="38">
        <f>SUM(Table22[[#This Row],[Net Investment
April 16-30, 2026]:[Net Investment
May 01-15, 2026]])</f>
        <v/>
      </c>
      <c r="BF15" s="38">
        <f>SUM(Table22[[#This Row],[Net Investment
April 01-15, 2026]:[Net Investment
May 01-15, 2026]])</f>
        <v/>
      </c>
      <c r="BG15" s="38">
        <f>SUM(Table22[[#This Row],[Net Investment
March 16-31, 2026]:[Net Investment
May 01-15, 2026]])</f>
        <v/>
      </c>
      <c r="BH15" s="38">
        <f>SUM(Table22[[#This Row],[Net Investment
March 01-15, 2026]:[Net Investment
May 01-15, 2026]])</f>
        <v/>
      </c>
      <c r="BI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E16" s="38">
        <f>SUM(Table22[[#This Row],[Net Investment
April 16-30, 2026]:[Net Investment
May 01-15, 2026]])</f>
        <v/>
      </c>
      <c r="BF16" s="38">
        <f>SUM(Table22[[#This Row],[Net Investment
April 01-15, 2026]:[Net Investment
May 01-15, 2026]])</f>
        <v/>
      </c>
      <c r="BG16" s="38">
        <f>SUM(Table22[[#This Row],[Net Investment
March 16-31, 2026]:[Net Investment
May 01-15, 2026]])</f>
        <v/>
      </c>
      <c r="BH16" s="38">
        <f>SUM(Table22[[#This Row],[Net Investment
March 01-15, 2026]:[Net Investment
May 01-15, 2026]])</f>
        <v/>
      </c>
      <c r="BI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E17" s="38">
        <f>SUM(Table22[[#This Row],[Net Investment
April 16-30, 2026]:[Net Investment
May 01-15, 2026]])</f>
        <v/>
      </c>
      <c r="BF17" s="38">
        <f>SUM(Table22[[#This Row],[Net Investment
April 01-15, 2026]:[Net Investment
May 01-15, 2026]])</f>
        <v/>
      </c>
      <c r="BG17" s="38">
        <f>SUM(Table22[[#This Row],[Net Investment
March 16-31, 2026]:[Net Investment
May 01-15, 2026]])</f>
        <v/>
      </c>
      <c r="BH17" s="38">
        <f>SUM(Table22[[#This Row],[Net Investment
March 01-15, 2026]:[Net Investment
May 01-15, 2026]])</f>
        <v/>
      </c>
      <c r="BI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E18" s="38">
        <f>SUM(Table22[[#This Row],[Net Investment
April 16-30, 2026]:[Net Investment
May 01-15, 2026]])</f>
        <v/>
      </c>
      <c r="BF18" s="38">
        <f>SUM(Table22[[#This Row],[Net Investment
April 01-15, 2026]:[Net Investment
May 01-15, 2026]])</f>
        <v/>
      </c>
      <c r="BG18" s="38">
        <f>SUM(Table22[[#This Row],[Net Investment
March 16-31, 2026]:[Net Investment
May 01-15, 2026]])</f>
        <v/>
      </c>
      <c r="BH18" s="38">
        <f>SUM(Table22[[#This Row],[Net Investment
March 01-15, 2026]:[Net Investment
May 01-15, 2026]])</f>
        <v/>
      </c>
      <c r="BI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E19" s="38">
        <f>SUM(Table22[[#This Row],[Net Investment
April 16-30, 2026]:[Net Investment
May 01-15, 2026]])</f>
        <v/>
      </c>
      <c r="BF19" s="38">
        <f>SUM(Table22[[#This Row],[Net Investment
April 01-15, 2026]:[Net Investment
May 01-15, 2026]])</f>
        <v/>
      </c>
      <c r="BG19" s="38">
        <f>SUM(Table22[[#This Row],[Net Investment
March 16-31, 2026]:[Net Investment
May 01-15, 2026]])</f>
        <v/>
      </c>
      <c r="BH19" s="38">
        <f>SUM(Table22[[#This Row],[Net Investment
March 01-15, 2026]:[Net Investment
May 01-15, 2026]])</f>
        <v/>
      </c>
      <c r="BI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E20" s="38">
        <f>SUM(Table22[[#This Row],[Net Investment
April 16-30, 2026]:[Net Investment
May 01-15, 2026]])</f>
        <v/>
      </c>
      <c r="BF20" s="38">
        <f>SUM(Table22[[#This Row],[Net Investment
April 01-15, 2026]:[Net Investment
May 01-15, 2026]])</f>
        <v/>
      </c>
      <c r="BG20" s="38">
        <f>SUM(Table22[[#This Row],[Net Investment
March 16-31, 2026]:[Net Investment
May 01-15, 2026]])</f>
        <v/>
      </c>
      <c r="BH20" s="38">
        <f>SUM(Table22[[#This Row],[Net Investment
March 01-15, 2026]:[Net Investment
May 01-15, 2026]])</f>
        <v/>
      </c>
      <c r="BI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E21" s="38">
        <f>SUM(Table22[[#This Row],[Net Investment
April 16-30, 2026]:[Net Investment
May 01-15, 2026]])</f>
        <v/>
      </c>
      <c r="BF21" s="38">
        <f>SUM(Table22[[#This Row],[Net Investment
April 01-15, 2026]:[Net Investment
May 01-15, 2026]])</f>
        <v/>
      </c>
      <c r="BG21" s="38">
        <f>SUM(Table22[[#This Row],[Net Investment
March 16-31, 2026]:[Net Investment
May 01-15, 2026]])</f>
        <v/>
      </c>
      <c r="BH21" s="38">
        <f>SUM(Table22[[#This Row],[Net Investment
March 01-15, 2026]:[Net Investment
May 01-15, 2026]])</f>
        <v/>
      </c>
      <c r="BI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E22" s="38">
        <f>SUM(Table22[[#This Row],[Net Investment
April 16-30, 2026]:[Net Investment
May 01-15, 2026]])</f>
        <v/>
      </c>
      <c r="BF22" s="38">
        <f>SUM(Table22[[#This Row],[Net Investment
April 01-15, 2026]:[Net Investment
May 01-15, 2026]])</f>
        <v/>
      </c>
      <c r="BG22" s="38">
        <f>SUM(Table22[[#This Row],[Net Investment
March 16-31, 2026]:[Net Investment
May 01-15, 2026]])</f>
        <v/>
      </c>
      <c r="BH22" s="38">
        <f>SUM(Table22[[#This Row],[Net Investment
March 01-15, 2026]:[Net Investment
May 01-15, 2026]])</f>
        <v/>
      </c>
      <c r="BI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E23" s="38">
        <f>SUM(Table22[[#This Row],[Net Investment
April 16-30, 2026]:[Net Investment
May 01-15, 2026]])</f>
        <v/>
      </c>
      <c r="BF23" s="38">
        <f>SUM(Table22[[#This Row],[Net Investment
April 01-15, 2026]:[Net Investment
May 01-15, 2026]])</f>
        <v/>
      </c>
      <c r="BG23" s="38">
        <f>SUM(Table22[[#This Row],[Net Investment
March 16-31, 2026]:[Net Investment
May 01-15, 2026]])</f>
        <v/>
      </c>
      <c r="BH23" s="38">
        <f>SUM(Table22[[#This Row],[Net Investment
March 01-15, 2026]:[Net Investment
May 01-15, 2026]])</f>
        <v/>
      </c>
      <c r="BI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E24" s="38">
        <f>SUM(Table22[[#This Row],[Net Investment
April 16-30, 2026]:[Net Investment
May 01-15, 2026]])</f>
        <v/>
      </c>
      <c r="BF24" s="38">
        <f>SUM(Table22[[#This Row],[Net Investment
April 01-15, 2026]:[Net Investment
May 01-15, 2026]])</f>
        <v/>
      </c>
      <c r="BG24" s="38">
        <f>SUM(Table22[[#This Row],[Net Investment
March 16-31, 2026]:[Net Investment
May 01-15, 2026]])</f>
        <v/>
      </c>
      <c r="BH24" s="38">
        <f>SUM(Table22[[#This Row],[Net Investment
March 01-15, 2026]:[Net Investment
May 01-15, 2026]])</f>
        <v/>
      </c>
      <c r="BI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E25" s="38">
        <f>SUM(Table22[[#This Row],[Net Investment
April 16-30, 2026]:[Net Investment
May 01-15, 2026]])</f>
        <v/>
      </c>
      <c r="BF25" s="38">
        <f>SUM(Table22[[#This Row],[Net Investment
April 01-15, 2026]:[Net Investment
May 01-15, 2026]])</f>
        <v/>
      </c>
      <c r="BG25" s="38">
        <f>SUM(Table22[[#This Row],[Net Investment
March 16-31, 2026]:[Net Investment
May 01-15, 2026]])</f>
        <v/>
      </c>
      <c r="BH25" s="38">
        <f>SUM(Table22[[#This Row],[Net Investment
March 01-15, 2026]:[Net Investment
May 01-15, 2026]])</f>
        <v/>
      </c>
      <c r="BI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E26" s="38">
        <f>SUM(Table22[[#This Row],[Net Investment
April 16-30, 2026]:[Net Investment
May 01-15, 2026]])</f>
        <v/>
      </c>
      <c r="BF26" s="38">
        <f>SUM(Table22[[#This Row],[Net Investment
April 01-15, 2026]:[Net Investment
May 01-15, 2026]])</f>
        <v/>
      </c>
      <c r="BG26" s="38">
        <f>SUM(Table22[[#This Row],[Net Investment
March 16-31, 2026]:[Net Investment
May 01-15, 2026]])</f>
        <v/>
      </c>
      <c r="BH26" s="38">
        <f>SUM(Table22[[#This Row],[Net Investment
March 01-15, 2026]:[Net Investment
May 01-15, 2026]])</f>
        <v/>
      </c>
      <c r="BI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9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</row>
  </sheetData>
  <conditionalFormatting sqref="B2:B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-26049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-4020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-913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2746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-4614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9901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12415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119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-17848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-53973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16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-7126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2563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-37828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-8083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-1267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15634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-19284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731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254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2395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2026-10-13T19:54:49Z</dcterms:modified>
  <cp:lastModifiedBy>Ankit Gupta</cp:lastModifiedBy>
</cp:coreProperties>
</file>