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Wide'!$AW$11</f>
            </numRef>
          </val>
        </ser>
        <ser>
          <idx val="48"/>
          <order val="48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Wide'!$AW$14</f>
            </numRef>
          </val>
        </ser>
        <ser>
          <idx val="97"/>
          <order val="97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Wide'!$AW$17</f>
            </numRef>
          </val>
        </ser>
        <ser>
          <idx val="146"/>
          <order val="146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Wide'!$B$2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Wide'!$C$2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Wide'!$D$2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Wide'!$E$2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Wide'!$F$2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Wide'!$G$2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Wide'!$AW$2</f>
            </numRef>
          </val>
        </ser>
        <ser>
          <idx val="195"/>
          <order val="195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Wide'!$B$10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Wide'!$C$10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Wide'!$D$10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Wide'!$E$10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Wide'!$F$10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Wide'!$G$10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Wide'!$H$10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Wide'!$I$10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Wide'!$AW$10</f>
            </numRef>
          </val>
        </ser>
        <ser>
          <idx val="244"/>
          <order val="24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Wide'!$B$8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Wide'!$C$8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Wide'!$D$8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Wide'!$E$8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Wide'!$F$8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Wide'!$G$8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Wide'!$H$8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Wide'!$I$8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Wide'!$J$8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Wide'!$K$8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Wide'!$AW$8</f>
            </numRef>
          </val>
        </ser>
        <ser>
          <idx val="293"/>
          <order val="293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Wide'!$B$22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Wide'!$C$22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Wide'!$D$22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Wide'!$E$22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Wide'!$F$22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Wide'!$G$22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Wide'!$H$22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Wide'!$I$22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Wide'!$J$22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Wide'!$K$22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Wide'!$L$22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Wide'!$M$22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Wide'!$AW$22</f>
            </numRef>
          </val>
        </ser>
        <ser>
          <idx val="342"/>
          <order val="342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Wide'!$AW$13</f>
            </numRef>
          </val>
        </ser>
        <ser>
          <idx val="391"/>
          <order val="391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'Monthly'!$Z$26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Y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51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27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8" t="inlineStr">
        <is>
          <t>Sector Trend</t>
        </is>
      </c>
      <c r="AZ1" s="11" t="inlineStr">
        <is>
          <t>30 Days
Flow</t>
        </is>
      </c>
      <c r="BA1" s="11" t="inlineStr">
        <is>
          <t>45 Days
Flow</t>
        </is>
      </c>
      <c r="BB1" s="11" t="inlineStr">
        <is>
          <t>60 Days
Flow</t>
        </is>
      </c>
      <c r="BC1" s="11" t="inlineStr">
        <is>
          <t>75 Days
Flow</t>
        </is>
      </c>
      <c r="BD1" s="11" t="inlineStr">
        <is>
          <t>90 Days
Flow</t>
        </is>
      </c>
      <c r="BE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/>
      <c r="AZ2" s="38">
        <f>SUM(Table22[[#This Row],[Net Investment
April 16-30, 2026]:[Net Investment
May 01-15, 2026]])</f>
        <v/>
      </c>
      <c r="BA2" s="38">
        <f>SUM(Table22[[#This Row],[Net Investment
April 01-15, 2026]:[Net Investment
May 01-15, 2026]])</f>
        <v/>
      </c>
      <c r="BB2" s="38">
        <f>SUM(Table22[[#This Row],[Net Investment
March 16-31, 2026]:[Net Investment
May 01-15, 2026]])</f>
        <v/>
      </c>
      <c r="BC2" s="38">
        <f>SUM(Table22[[#This Row],[Net Investment
March 01-15, 2026]:[Net Investment
May 01-15, 2026]])</f>
        <v/>
      </c>
      <c r="BD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Z3" s="38">
        <f>SUM(Table22[[#This Row],[Net Investment
April 16-30, 2026]:[Net Investment
May 01-15, 2026]])</f>
        <v/>
      </c>
      <c r="BA3" s="38">
        <f>SUM(Table22[[#This Row],[Net Investment
April 01-15, 2026]:[Net Investment
May 01-15, 2026]])</f>
        <v/>
      </c>
      <c r="BB3" s="38">
        <f>SUM(Table22[[#This Row],[Net Investment
March 16-31, 2026]:[Net Investment
May 01-15, 2026]])</f>
        <v/>
      </c>
      <c r="BC3" s="38">
        <f>SUM(Table22[[#This Row],[Net Investment
March 01-15, 2026]:[Net Investment
May 01-15, 2026]])</f>
        <v/>
      </c>
      <c r="BD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Z4" s="38">
        <f>SUM(Table22[[#This Row],[Net Investment
April 16-30, 2026]:[Net Investment
May 01-15, 2026]])</f>
        <v/>
      </c>
      <c r="BA4" s="38">
        <f>SUM(Table22[[#This Row],[Net Investment
April 01-15, 2026]:[Net Investment
May 01-15, 2026]])</f>
        <v/>
      </c>
      <c r="BB4" s="38">
        <f>SUM(Table22[[#This Row],[Net Investment
March 16-31, 2026]:[Net Investment
May 01-15, 2026]])</f>
        <v/>
      </c>
      <c r="BC4" s="38">
        <f>SUM(Table22[[#This Row],[Net Investment
March 01-15, 2026]:[Net Investment
May 01-15, 2026]])</f>
        <v/>
      </c>
      <c r="BD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Z5" s="38">
        <f>SUM(Table22[[#This Row],[Net Investment
April 16-30, 2026]:[Net Investment
May 01-15, 2026]])</f>
        <v/>
      </c>
      <c r="BA5" s="38">
        <f>SUM(Table22[[#This Row],[Net Investment
April 01-15, 2026]:[Net Investment
May 01-15, 2026]])</f>
        <v/>
      </c>
      <c r="BB5" s="38">
        <f>SUM(Table22[[#This Row],[Net Investment
March 16-31, 2026]:[Net Investment
May 01-15, 2026]])</f>
        <v/>
      </c>
      <c r="BC5" s="38">
        <f>SUM(Table22[[#This Row],[Net Investment
March 01-15, 2026]:[Net Investment
May 01-15, 2026]])</f>
        <v/>
      </c>
      <c r="BD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Z6" s="38">
        <f>SUM(Table22[[#This Row],[Net Investment
April 16-30, 2026]:[Net Investment
May 01-15, 2026]])</f>
        <v/>
      </c>
      <c r="BA6" s="38">
        <f>SUM(Table22[[#This Row],[Net Investment
April 01-15, 2026]:[Net Investment
May 01-15, 2026]])</f>
        <v/>
      </c>
      <c r="BB6" s="38">
        <f>SUM(Table22[[#This Row],[Net Investment
March 16-31, 2026]:[Net Investment
May 01-15, 2026]])</f>
        <v/>
      </c>
      <c r="BC6" s="38">
        <f>SUM(Table22[[#This Row],[Net Investment
March 01-15, 2026]:[Net Investment
May 01-15, 2026]])</f>
        <v/>
      </c>
      <c r="BD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Z7" s="38">
        <f>SUM(Table22[[#This Row],[Net Investment
April 16-30, 2026]:[Net Investment
May 01-15, 2026]])</f>
        <v/>
      </c>
      <c r="BA7" s="38">
        <f>SUM(Table22[[#This Row],[Net Investment
April 01-15, 2026]:[Net Investment
May 01-15, 2026]])</f>
        <v/>
      </c>
      <c r="BB7" s="38">
        <f>SUM(Table22[[#This Row],[Net Investment
March 16-31, 2026]:[Net Investment
May 01-15, 2026]])</f>
        <v/>
      </c>
      <c r="BC7" s="38">
        <f>SUM(Table22[[#This Row],[Net Investment
March 01-15, 2026]:[Net Investment
May 01-15, 2026]])</f>
        <v/>
      </c>
      <c r="BD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Z8" s="38">
        <f>SUM(Table22[[#This Row],[Net Investment
April 16-30, 2026]:[Net Investment
May 01-15, 2026]])</f>
        <v/>
      </c>
      <c r="BA8" s="38">
        <f>SUM(Table22[[#This Row],[Net Investment
April 01-15, 2026]:[Net Investment
May 01-15, 2026]])</f>
        <v/>
      </c>
      <c r="BB8" s="38">
        <f>SUM(Table22[[#This Row],[Net Investment
March 16-31, 2026]:[Net Investment
May 01-15, 2026]])</f>
        <v/>
      </c>
      <c r="BC8" s="38">
        <f>SUM(Table22[[#This Row],[Net Investment
March 01-15, 2026]:[Net Investment
May 01-15, 2026]])</f>
        <v/>
      </c>
      <c r="BD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Z9" s="38">
        <f>SUM(Table22[[#This Row],[Net Investment
April 16-30, 2026]:[Net Investment
May 01-15, 2026]])</f>
        <v/>
      </c>
      <c r="BA9" s="38">
        <f>SUM(Table22[[#This Row],[Net Investment
April 01-15, 2026]:[Net Investment
May 01-15, 2026]])</f>
        <v/>
      </c>
      <c r="BB9" s="38">
        <f>SUM(Table22[[#This Row],[Net Investment
March 16-31, 2026]:[Net Investment
May 01-15, 2026]])</f>
        <v/>
      </c>
      <c r="BC9" s="38">
        <f>SUM(Table22[[#This Row],[Net Investment
March 01-15, 2026]:[Net Investment
May 01-15, 2026]])</f>
        <v/>
      </c>
      <c r="BD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Z10" s="38">
        <f>SUM(Table22[[#This Row],[Net Investment
April 16-30, 2026]:[Net Investment
May 01-15, 2026]])</f>
        <v/>
      </c>
      <c r="BA10" s="38">
        <f>SUM(Table22[[#This Row],[Net Investment
April 01-15, 2026]:[Net Investment
May 01-15, 2026]])</f>
        <v/>
      </c>
      <c r="BB10" s="38">
        <f>SUM(Table22[[#This Row],[Net Investment
March 16-31, 2026]:[Net Investment
May 01-15, 2026]])</f>
        <v/>
      </c>
      <c r="BC10" s="38">
        <f>SUM(Table22[[#This Row],[Net Investment
March 01-15, 2026]:[Net Investment
May 01-15, 2026]])</f>
        <v/>
      </c>
      <c r="BD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Z11" s="38">
        <f>SUM(Table22[[#This Row],[Net Investment
April 16-30, 2026]:[Net Investment
May 01-15, 2026]])</f>
        <v/>
      </c>
      <c r="BA11" s="38">
        <f>SUM(Table22[[#This Row],[Net Investment
April 01-15, 2026]:[Net Investment
May 01-15, 2026]])</f>
        <v/>
      </c>
      <c r="BB11" s="38">
        <f>SUM(Table22[[#This Row],[Net Investment
March 16-31, 2026]:[Net Investment
May 01-15, 2026]])</f>
        <v/>
      </c>
      <c r="BC11" s="38">
        <f>SUM(Table22[[#This Row],[Net Investment
March 01-15, 2026]:[Net Investment
May 01-15, 2026]])</f>
        <v/>
      </c>
      <c r="BD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Z12" s="38">
        <f>SUM(Table22[[#This Row],[Net Investment
April 16-30, 2026]:[Net Investment
May 01-15, 2026]])</f>
        <v/>
      </c>
      <c r="BA12" s="38">
        <f>SUM(Table22[[#This Row],[Net Investment
April 01-15, 2026]:[Net Investment
May 01-15, 2026]])</f>
        <v/>
      </c>
      <c r="BB12" s="38">
        <f>SUM(Table22[[#This Row],[Net Investment
March 16-31, 2026]:[Net Investment
May 01-15, 2026]])</f>
        <v/>
      </c>
      <c r="BC12" s="38">
        <f>SUM(Table22[[#This Row],[Net Investment
March 01-15, 2026]:[Net Investment
May 01-15, 2026]])</f>
        <v/>
      </c>
      <c r="BD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Z13" s="38">
        <f>SUM(Table22[[#This Row],[Net Investment
April 16-30, 2026]:[Net Investment
May 01-15, 2026]])</f>
        <v/>
      </c>
      <c r="BA13" s="38">
        <f>SUM(Table22[[#This Row],[Net Investment
April 01-15, 2026]:[Net Investment
May 01-15, 2026]])</f>
        <v/>
      </c>
      <c r="BB13" s="38">
        <f>SUM(Table22[[#This Row],[Net Investment
March 16-31, 2026]:[Net Investment
May 01-15, 2026]])</f>
        <v/>
      </c>
      <c r="BC13" s="38">
        <f>SUM(Table22[[#This Row],[Net Investment
March 01-15, 2026]:[Net Investment
May 01-15, 2026]])</f>
        <v/>
      </c>
      <c r="BD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Z14" s="38">
        <f>SUM(Table22[[#This Row],[Net Investment
April 16-30, 2026]:[Net Investment
May 01-15, 2026]])</f>
        <v/>
      </c>
      <c r="BA14" s="38">
        <f>SUM(Table22[[#This Row],[Net Investment
April 01-15, 2026]:[Net Investment
May 01-15, 2026]])</f>
        <v/>
      </c>
      <c r="BB14" s="38">
        <f>SUM(Table22[[#This Row],[Net Investment
March 16-31, 2026]:[Net Investment
May 01-15, 2026]])</f>
        <v/>
      </c>
      <c r="BC14" s="38">
        <f>SUM(Table22[[#This Row],[Net Investment
March 01-15, 2026]:[Net Investment
May 01-15, 2026]])</f>
        <v/>
      </c>
      <c r="BD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Z15" s="38">
        <f>SUM(Table22[[#This Row],[Net Investment
April 16-30, 2026]:[Net Investment
May 01-15, 2026]])</f>
        <v/>
      </c>
      <c r="BA15" s="38">
        <f>SUM(Table22[[#This Row],[Net Investment
April 01-15, 2026]:[Net Investment
May 01-15, 2026]])</f>
        <v/>
      </c>
      <c r="BB15" s="38">
        <f>SUM(Table22[[#This Row],[Net Investment
March 16-31, 2026]:[Net Investment
May 01-15, 2026]])</f>
        <v/>
      </c>
      <c r="BC15" s="38">
        <f>SUM(Table22[[#This Row],[Net Investment
March 01-15, 2026]:[Net Investment
May 01-15, 2026]])</f>
        <v/>
      </c>
      <c r="BD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Z16" s="38">
        <f>SUM(Table22[[#This Row],[Net Investment
April 16-30, 2026]:[Net Investment
May 01-15, 2026]])</f>
        <v/>
      </c>
      <c r="BA16" s="38">
        <f>SUM(Table22[[#This Row],[Net Investment
April 01-15, 2026]:[Net Investment
May 01-15, 2026]])</f>
        <v/>
      </c>
      <c r="BB16" s="38">
        <f>SUM(Table22[[#This Row],[Net Investment
March 16-31, 2026]:[Net Investment
May 01-15, 2026]])</f>
        <v/>
      </c>
      <c r="BC16" s="38">
        <f>SUM(Table22[[#This Row],[Net Investment
March 01-15, 2026]:[Net Investment
May 01-15, 2026]])</f>
        <v/>
      </c>
      <c r="BD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Z17" s="38">
        <f>SUM(Table22[[#This Row],[Net Investment
April 16-30, 2026]:[Net Investment
May 01-15, 2026]])</f>
        <v/>
      </c>
      <c r="BA17" s="38">
        <f>SUM(Table22[[#This Row],[Net Investment
April 01-15, 2026]:[Net Investment
May 01-15, 2026]])</f>
        <v/>
      </c>
      <c r="BB17" s="38">
        <f>SUM(Table22[[#This Row],[Net Investment
March 16-31, 2026]:[Net Investment
May 01-15, 2026]])</f>
        <v/>
      </c>
      <c r="BC17" s="38">
        <f>SUM(Table22[[#This Row],[Net Investment
March 01-15, 2026]:[Net Investment
May 01-15, 2026]])</f>
        <v/>
      </c>
      <c r="BD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Z18" s="38">
        <f>SUM(Table22[[#This Row],[Net Investment
April 16-30, 2026]:[Net Investment
May 01-15, 2026]])</f>
        <v/>
      </c>
      <c r="BA18" s="38">
        <f>SUM(Table22[[#This Row],[Net Investment
April 01-15, 2026]:[Net Investment
May 01-15, 2026]])</f>
        <v/>
      </c>
      <c r="BB18" s="38">
        <f>SUM(Table22[[#This Row],[Net Investment
March 16-31, 2026]:[Net Investment
May 01-15, 2026]])</f>
        <v/>
      </c>
      <c r="BC18" s="38">
        <f>SUM(Table22[[#This Row],[Net Investment
March 01-15, 2026]:[Net Investment
May 01-15, 2026]])</f>
        <v/>
      </c>
      <c r="BD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Z19" s="38">
        <f>SUM(Table22[[#This Row],[Net Investment
April 16-30, 2026]:[Net Investment
May 01-15, 2026]])</f>
        <v/>
      </c>
      <c r="BA19" s="38">
        <f>SUM(Table22[[#This Row],[Net Investment
April 01-15, 2026]:[Net Investment
May 01-15, 2026]])</f>
        <v/>
      </c>
      <c r="BB19" s="38">
        <f>SUM(Table22[[#This Row],[Net Investment
March 16-31, 2026]:[Net Investment
May 01-15, 2026]])</f>
        <v/>
      </c>
      <c r="BC19" s="38">
        <f>SUM(Table22[[#This Row],[Net Investment
March 01-15, 2026]:[Net Investment
May 01-15, 2026]])</f>
        <v/>
      </c>
      <c r="BD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Z20" s="38">
        <f>SUM(Table22[[#This Row],[Net Investment
April 16-30, 2026]:[Net Investment
May 01-15, 2026]])</f>
        <v/>
      </c>
      <c r="BA20" s="38">
        <f>SUM(Table22[[#This Row],[Net Investment
April 01-15, 2026]:[Net Investment
May 01-15, 2026]])</f>
        <v/>
      </c>
      <c r="BB20" s="38">
        <f>SUM(Table22[[#This Row],[Net Investment
March 16-31, 2026]:[Net Investment
May 01-15, 2026]])</f>
        <v/>
      </c>
      <c r="BC20" s="38">
        <f>SUM(Table22[[#This Row],[Net Investment
March 01-15, 2026]:[Net Investment
May 01-15, 2026]])</f>
        <v/>
      </c>
      <c r="BD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Z21" s="38">
        <f>SUM(Table22[[#This Row],[Net Investment
April 16-30, 2026]:[Net Investment
May 01-15, 2026]])</f>
        <v/>
      </c>
      <c r="BA21" s="38">
        <f>SUM(Table22[[#This Row],[Net Investment
April 01-15, 2026]:[Net Investment
May 01-15, 2026]])</f>
        <v/>
      </c>
      <c r="BB21" s="38">
        <f>SUM(Table22[[#This Row],[Net Investment
March 16-31, 2026]:[Net Investment
May 01-15, 2026]])</f>
        <v/>
      </c>
      <c r="BC21" s="38">
        <f>SUM(Table22[[#This Row],[Net Investment
March 01-15, 2026]:[Net Investment
May 01-15, 2026]])</f>
        <v/>
      </c>
      <c r="BD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Z22" s="38">
        <f>SUM(Table22[[#This Row],[Net Investment
April 16-30, 2026]:[Net Investment
May 01-15, 2026]])</f>
        <v/>
      </c>
      <c r="BA22" s="38">
        <f>SUM(Table22[[#This Row],[Net Investment
April 01-15, 2026]:[Net Investment
May 01-15, 2026]])</f>
        <v/>
      </c>
      <c r="BB22" s="38">
        <f>SUM(Table22[[#This Row],[Net Investment
March 16-31, 2026]:[Net Investment
May 01-15, 2026]])</f>
        <v/>
      </c>
      <c r="BC22" s="38">
        <f>SUM(Table22[[#This Row],[Net Investment
March 01-15, 2026]:[Net Investment
May 01-15, 2026]])</f>
        <v/>
      </c>
      <c r="BD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Z23" s="38">
        <f>SUM(Table22[[#This Row],[Net Investment
April 16-30, 2026]:[Net Investment
May 01-15, 2026]])</f>
        <v/>
      </c>
      <c r="BA23" s="38">
        <f>SUM(Table22[[#This Row],[Net Investment
April 01-15, 2026]:[Net Investment
May 01-15, 2026]])</f>
        <v/>
      </c>
      <c r="BB23" s="38">
        <f>SUM(Table22[[#This Row],[Net Investment
March 16-31, 2026]:[Net Investment
May 01-15, 2026]])</f>
        <v/>
      </c>
      <c r="BC23" s="38">
        <f>SUM(Table22[[#This Row],[Net Investment
March 01-15, 2026]:[Net Investment
May 01-15, 2026]])</f>
        <v/>
      </c>
      <c r="BD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Z24" s="38">
        <f>SUM(Table22[[#This Row],[Net Investment
April 16-30, 2026]:[Net Investment
May 01-15, 2026]])</f>
        <v/>
      </c>
      <c r="BA24" s="38">
        <f>SUM(Table22[[#This Row],[Net Investment
April 01-15, 2026]:[Net Investment
May 01-15, 2026]])</f>
        <v/>
      </c>
      <c r="BB24" s="38">
        <f>SUM(Table22[[#This Row],[Net Investment
March 16-31, 2026]:[Net Investment
May 01-15, 2026]])</f>
        <v/>
      </c>
      <c r="BC24" s="38">
        <f>SUM(Table22[[#This Row],[Net Investment
March 01-15, 2026]:[Net Investment
May 01-15, 2026]])</f>
        <v/>
      </c>
      <c r="BD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Z25" s="38">
        <f>SUM(Table22[[#This Row],[Net Investment
April 16-30, 2026]:[Net Investment
May 01-15, 2026]])</f>
        <v/>
      </c>
      <c r="BA25" s="38">
        <f>SUM(Table22[[#This Row],[Net Investment
April 01-15, 2026]:[Net Investment
May 01-15, 2026]])</f>
        <v/>
      </c>
      <c r="BB25" s="38">
        <f>SUM(Table22[[#This Row],[Net Investment
March 16-31, 2026]:[Net Investment
May 01-15, 2026]])</f>
        <v/>
      </c>
      <c r="BC25" s="38">
        <f>SUM(Table22[[#This Row],[Net Investment
March 01-15, 2026]:[Net Investment
May 01-15, 2026]])</f>
        <v/>
      </c>
      <c r="BD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Z26" s="38">
        <f>SUM(Table22[[#This Row],[Net Investment
April 16-30, 2026]:[Net Investment
May 01-15, 2026]])</f>
        <v/>
      </c>
      <c r="BA26" s="38">
        <f>SUM(Table22[[#This Row],[Net Investment
April 01-15, 2026]:[Net Investment
May 01-15, 2026]])</f>
        <v/>
      </c>
      <c r="BB26" s="38">
        <f>SUM(Table22[[#This Row],[Net Investment
March 16-31, 2026]:[Net Investment
May 01-15, 2026]])</f>
        <v/>
      </c>
      <c r="BC26" s="38">
        <f>SUM(Table22[[#This Row],[Net Investment
March 01-15, 2026]:[Net Investment
May 01-15, 2026]])</f>
        <v/>
      </c>
      <c r="BD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7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X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</row>
  </sheetData>
  <conditionalFormatting sqref="B2:AX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-6936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-2657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-114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403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1574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2384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7361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29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-1106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1975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-11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4101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60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-289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5993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258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-1267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2072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-2454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248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119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</row>
  </sheetData>
  <conditionalFormatting sqref="B2: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-6936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-2657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-114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403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1574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2384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7361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29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-1106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1975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-11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4101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60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-289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5993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258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-1267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2072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-2454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248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119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-25315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453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-2398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2999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-4414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2945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-1175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50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-13409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-48651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-21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-5708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-13529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-978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4815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-28700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-2711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349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11550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-7616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172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287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3409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2026-08-04T14:44:44Z</dcterms:modified>
  <cp:lastModifiedBy>Ankit Gupta</cp:lastModifiedBy>
</cp:coreProperties>
</file>