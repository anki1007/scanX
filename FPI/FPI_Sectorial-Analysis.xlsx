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Wide'!$AY$11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Wide'!$BA$11</f>
            </numRef>
          </val>
        </ser>
        <ser>
          <idx val="52"/>
          <order val="52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Wide'!$BB$11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Wide'!$AW$14</f>
            </numRef>
          </val>
        </ser>
        <ser>
          <idx val="101"/>
          <order val="1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Wide'!$AY$14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Wide'!$AZ$14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Wide'!$BA$14</f>
            </numRef>
          </val>
        </ser>
        <ser>
          <idx val="105"/>
          <order val="105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Wide'!$BB$14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Wide'!$AU$17</f>
            </numRef>
          </val>
        </ser>
        <ser>
          <idx val="152"/>
          <order val="1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Wide'!$AW$17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Wide'!$AX$17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Wide'!$AY$17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Wide'!$AZ$17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Wide'!$BA$17</f>
            </numRef>
          </val>
        </ser>
        <ser>
          <idx val="158"/>
          <order val="158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Wide'!$BB$17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</f>
            </numRef>
          </val>
        </ser>
        <ser>
          <idx val="203"/>
          <order val="2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</f>
            </numRef>
          </val>
        </ser>
        <ser>
          <idx val="211"/>
          <order val="211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Wide'!$AQ$10</f>
            </numRef>
          </val>
        </ser>
        <ser>
          <idx val="254"/>
          <order val="2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Wide'!$AS$10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Wide'!$AT$10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Wide'!$AU$10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Wide'!$AV$10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Wide'!$AW$10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Wide'!$AX$10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Wide'!$AY$10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Wide'!$AZ$10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Wide'!$BA$10</f>
            </numRef>
          </val>
        </ser>
        <ser>
          <idx val="264"/>
          <order val="26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Wide'!$BB$10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Wide'!$AO$8</f>
            </numRef>
          </val>
        </ser>
        <ser>
          <idx val="305"/>
          <order val="3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Wide'!$AQ$8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Wide'!$AR$8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Wide'!$AS$8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Wide'!$AT$8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Wide'!$AU$8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Wide'!$AV$8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Wide'!$AW$8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Wide'!$AX$8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Wide'!$AY$8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Wide'!$AZ$8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Wide'!$BA$8</f>
            </numRef>
          </val>
        </ser>
        <ser>
          <idx val="317"/>
          <order val="317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Wide'!$BB$8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Wide'!$AM$22</f>
            </numRef>
          </val>
        </ser>
        <ser>
          <idx val="356"/>
          <order val="3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Wide'!$AO$22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Wide'!$AP$22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Wide'!$AQ$22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Wide'!$AR$22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Wide'!$AS$22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Wide'!$AT$22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Wide'!$AU$22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Wide'!$AV$22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Wide'!$AW$22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Wide'!$AX$22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Wide'!$AY$22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Wide'!$AZ$22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Wide'!$BA$22</f>
            </numRef>
          </val>
        </ser>
        <ser>
          <idx val="370"/>
          <order val="370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Wide'!$BB$22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Wide'!$C$13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Wide'!$D$13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Wide'!$E$13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Wide'!$F$13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Wide'!$G$13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Wide'!$H$13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Wide'!$I$13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Wide'!$J$13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Wide'!$K$13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Wide'!$L$13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Wide'!$M$13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Wide'!$N$13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Wide'!$O$13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Wide'!$P$13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Wide'!$Q$13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Wide'!$R$13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Wide'!$S$13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Wide'!$T$13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Wide'!$U$13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Wide'!$V$13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Wide'!$W$13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Wide'!$X$13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Wide'!$Y$13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Wide'!$Z$13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Wide'!$AA$13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Wide'!$AB$13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Wide'!$AC$13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Wide'!$AD$13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Wide'!$AE$13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Wide'!$AF$13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Wide'!$AG$13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Wide'!$AH$13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Wide'!$AI$13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Wide'!$AJ$13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Wide'!$AK$13</f>
            </numRef>
          </val>
        </ser>
        <ser>
          <idx val="407"/>
          <order val="4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Wide'!$AL$13</f>
            </numRef>
          </val>
        </ser>
        <ser>
          <idx val="408"/>
          <order val="4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Wide'!$AM$13</f>
            </numRef>
          </val>
        </ser>
        <ser>
          <idx val="409"/>
          <order val="4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Wide'!$AN$13</f>
            </numRef>
          </val>
        </ser>
        <ser>
          <idx val="410"/>
          <order val="4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Wide'!$AO$13</f>
            </numRef>
          </val>
        </ser>
        <ser>
          <idx val="411"/>
          <order val="4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Wide'!$AP$13</f>
            </numRef>
          </val>
        </ser>
        <ser>
          <idx val="412"/>
          <order val="4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Wide'!$AQ$13</f>
            </numRef>
          </val>
        </ser>
        <ser>
          <idx val="413"/>
          <order val="4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Wide'!$AR$13</f>
            </numRef>
          </val>
        </ser>
        <ser>
          <idx val="414"/>
          <order val="4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Wide'!$AS$13</f>
            </numRef>
          </val>
        </ser>
        <ser>
          <idx val="415"/>
          <order val="4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Wide'!$AT$13</f>
            </numRef>
          </val>
        </ser>
        <ser>
          <idx val="416"/>
          <order val="4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Wide'!$AU$13</f>
            </numRef>
          </val>
        </ser>
        <ser>
          <idx val="417"/>
          <order val="4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Wide'!$AV$13</f>
            </numRef>
          </val>
        </ser>
        <ser>
          <idx val="418"/>
          <order val="4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Wide'!$AW$13</f>
            </numRef>
          </val>
        </ser>
        <ser>
          <idx val="419"/>
          <order val="4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Wide'!$AX$13</f>
            </numRef>
          </val>
        </ser>
        <ser>
          <idx val="420"/>
          <order val="4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Wide'!$AY$13</f>
            </numRef>
          </val>
        </ser>
        <ser>
          <idx val="421"/>
          <order val="4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Wide'!$AZ$13</f>
            </numRef>
          </val>
        </ser>
        <ser>
          <idx val="422"/>
          <order val="4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Wide'!$BA$13</f>
            </numRef>
          </val>
        </ser>
        <ser>
          <idx val="423"/>
          <order val="423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Wide'!$B$1:$BB$1</f>
            </numRef>
          </cat>
          <val>
            <numRef>
              <f>'Sectors Wide'!$BB$13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'Monthly'!$AA$26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cat>
            <numRef>
              <f>'Monthly'!$B$1:$AB$1</f>
            </numRef>
          </cat>
          <val>
            <numRef>
              <f>'Monthly'!$AB$26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C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55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29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I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42" t="inlineStr">
        <is>
          <t>Net Investment
Aug 16-31, 2026</t>
        </is>
      </c>
      <c r="BB1" s="42" t="inlineStr">
        <is>
          <t>Net Investment
Sep 01-15, 2026</t>
        </is>
      </c>
      <c r="BC1" s="8" t="inlineStr">
        <is>
          <t>Sector Trend</t>
        </is>
      </c>
      <c r="BD1" s="11" t="inlineStr">
        <is>
          <t>30 Days
Flow</t>
        </is>
      </c>
      <c r="BE1" s="11" t="inlineStr">
        <is>
          <t>45 Days
Flow</t>
        </is>
      </c>
      <c r="BF1" s="11" t="inlineStr">
        <is>
          <t>60 Days
Flow</t>
        </is>
      </c>
      <c r="BG1" s="11" t="inlineStr">
        <is>
          <t>75 Days
Flow</t>
        </is>
      </c>
      <c r="BH1" s="11" t="inlineStr">
        <is>
          <t>90 Days
Flow</t>
        </is>
      </c>
      <c r="BI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  <c r="BC2" t="n"/>
      <c r="BD2" s="38">
        <f>SUM(Table22[[#This Row],[Net Investment
April 16-30, 2026]:[Net Investment
May 01-15, 2026]])</f>
        <v/>
      </c>
      <c r="BE2" s="38">
        <f>SUM(Table22[[#This Row],[Net Investment
April 01-15, 2026]:[Net Investment
May 01-15, 2026]])</f>
        <v/>
      </c>
      <c r="BF2" s="38">
        <f>SUM(Table22[[#This Row],[Net Investment
March 16-31, 2026]:[Net Investment
May 01-15, 2026]])</f>
        <v/>
      </c>
      <c r="BG2" s="38">
        <f>SUM(Table22[[#This Row],[Net Investment
March 01-15, 2026]:[Net Investment
May 01-15, 2026]])</f>
        <v/>
      </c>
      <c r="BH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  <c r="BD3" s="38">
        <f>SUM(Table22[[#This Row],[Net Investment
April 16-30, 2026]:[Net Investment
May 01-15, 2026]])</f>
        <v/>
      </c>
      <c r="BE3" s="38">
        <f>SUM(Table22[[#This Row],[Net Investment
April 01-15, 2026]:[Net Investment
May 01-15, 2026]])</f>
        <v/>
      </c>
      <c r="BF3" s="38">
        <f>SUM(Table22[[#This Row],[Net Investment
March 16-31, 2026]:[Net Investment
May 01-15, 2026]])</f>
        <v/>
      </c>
      <c r="BG3" s="38">
        <f>SUM(Table22[[#This Row],[Net Investment
March 01-15, 2026]:[Net Investment
May 01-15, 2026]])</f>
        <v/>
      </c>
      <c r="BH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  <c r="BD4" s="38">
        <f>SUM(Table22[[#This Row],[Net Investment
April 16-30, 2026]:[Net Investment
May 01-15, 2026]])</f>
        <v/>
      </c>
      <c r="BE4" s="38">
        <f>SUM(Table22[[#This Row],[Net Investment
April 01-15, 2026]:[Net Investment
May 01-15, 2026]])</f>
        <v/>
      </c>
      <c r="BF4" s="38">
        <f>SUM(Table22[[#This Row],[Net Investment
March 16-31, 2026]:[Net Investment
May 01-15, 2026]])</f>
        <v/>
      </c>
      <c r="BG4" s="38">
        <f>SUM(Table22[[#This Row],[Net Investment
March 01-15, 2026]:[Net Investment
May 01-15, 2026]])</f>
        <v/>
      </c>
      <c r="BH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  <c r="BD5" s="38">
        <f>SUM(Table22[[#This Row],[Net Investment
April 16-30, 2026]:[Net Investment
May 01-15, 2026]])</f>
        <v/>
      </c>
      <c r="BE5" s="38">
        <f>SUM(Table22[[#This Row],[Net Investment
April 01-15, 2026]:[Net Investment
May 01-15, 2026]])</f>
        <v/>
      </c>
      <c r="BF5" s="38">
        <f>SUM(Table22[[#This Row],[Net Investment
March 16-31, 2026]:[Net Investment
May 01-15, 2026]])</f>
        <v/>
      </c>
      <c r="BG5" s="38">
        <f>SUM(Table22[[#This Row],[Net Investment
March 01-15, 2026]:[Net Investment
May 01-15, 2026]])</f>
        <v/>
      </c>
      <c r="BH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  <c r="BD6" s="38">
        <f>SUM(Table22[[#This Row],[Net Investment
April 16-30, 2026]:[Net Investment
May 01-15, 2026]])</f>
        <v/>
      </c>
      <c r="BE6" s="38">
        <f>SUM(Table22[[#This Row],[Net Investment
April 01-15, 2026]:[Net Investment
May 01-15, 2026]])</f>
        <v/>
      </c>
      <c r="BF6" s="38">
        <f>SUM(Table22[[#This Row],[Net Investment
March 16-31, 2026]:[Net Investment
May 01-15, 2026]])</f>
        <v/>
      </c>
      <c r="BG6" s="38">
        <f>SUM(Table22[[#This Row],[Net Investment
March 01-15, 2026]:[Net Investment
May 01-15, 2026]])</f>
        <v/>
      </c>
      <c r="BH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  <c r="BD7" s="38">
        <f>SUM(Table22[[#This Row],[Net Investment
April 16-30, 2026]:[Net Investment
May 01-15, 2026]])</f>
        <v/>
      </c>
      <c r="BE7" s="38">
        <f>SUM(Table22[[#This Row],[Net Investment
April 01-15, 2026]:[Net Investment
May 01-15, 2026]])</f>
        <v/>
      </c>
      <c r="BF7" s="38">
        <f>SUM(Table22[[#This Row],[Net Investment
March 16-31, 2026]:[Net Investment
May 01-15, 2026]])</f>
        <v/>
      </c>
      <c r="BG7" s="38">
        <f>SUM(Table22[[#This Row],[Net Investment
March 01-15, 2026]:[Net Investment
May 01-15, 2026]])</f>
        <v/>
      </c>
      <c r="BH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  <c r="BD8" s="38">
        <f>SUM(Table22[[#This Row],[Net Investment
April 16-30, 2026]:[Net Investment
May 01-15, 2026]])</f>
        <v/>
      </c>
      <c r="BE8" s="38">
        <f>SUM(Table22[[#This Row],[Net Investment
April 01-15, 2026]:[Net Investment
May 01-15, 2026]])</f>
        <v/>
      </c>
      <c r="BF8" s="38">
        <f>SUM(Table22[[#This Row],[Net Investment
March 16-31, 2026]:[Net Investment
May 01-15, 2026]])</f>
        <v/>
      </c>
      <c r="BG8" s="38">
        <f>SUM(Table22[[#This Row],[Net Investment
March 01-15, 2026]:[Net Investment
May 01-15, 2026]])</f>
        <v/>
      </c>
      <c r="BH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  <c r="BD9" s="38">
        <f>SUM(Table22[[#This Row],[Net Investment
April 16-30, 2026]:[Net Investment
May 01-15, 2026]])</f>
        <v/>
      </c>
      <c r="BE9" s="38">
        <f>SUM(Table22[[#This Row],[Net Investment
April 01-15, 2026]:[Net Investment
May 01-15, 2026]])</f>
        <v/>
      </c>
      <c r="BF9" s="38">
        <f>SUM(Table22[[#This Row],[Net Investment
March 16-31, 2026]:[Net Investment
May 01-15, 2026]])</f>
        <v/>
      </c>
      <c r="BG9" s="38">
        <f>SUM(Table22[[#This Row],[Net Investment
March 01-15, 2026]:[Net Investment
May 01-15, 2026]])</f>
        <v/>
      </c>
      <c r="BH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  <c r="BD10" s="38">
        <f>SUM(Table22[[#This Row],[Net Investment
April 16-30, 2026]:[Net Investment
May 01-15, 2026]])</f>
        <v/>
      </c>
      <c r="BE10" s="38">
        <f>SUM(Table22[[#This Row],[Net Investment
April 01-15, 2026]:[Net Investment
May 01-15, 2026]])</f>
        <v/>
      </c>
      <c r="BF10" s="38">
        <f>SUM(Table22[[#This Row],[Net Investment
March 16-31, 2026]:[Net Investment
May 01-15, 2026]])</f>
        <v/>
      </c>
      <c r="BG10" s="38">
        <f>SUM(Table22[[#This Row],[Net Investment
March 01-15, 2026]:[Net Investment
May 01-15, 2026]])</f>
        <v/>
      </c>
      <c r="BH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  <c r="BD11" s="38">
        <f>SUM(Table22[[#This Row],[Net Investment
April 16-30, 2026]:[Net Investment
May 01-15, 2026]])</f>
        <v/>
      </c>
      <c r="BE11" s="38">
        <f>SUM(Table22[[#This Row],[Net Investment
April 01-15, 2026]:[Net Investment
May 01-15, 2026]])</f>
        <v/>
      </c>
      <c r="BF11" s="38">
        <f>SUM(Table22[[#This Row],[Net Investment
March 16-31, 2026]:[Net Investment
May 01-15, 2026]])</f>
        <v/>
      </c>
      <c r="BG11" s="38">
        <f>SUM(Table22[[#This Row],[Net Investment
March 01-15, 2026]:[Net Investment
May 01-15, 2026]])</f>
        <v/>
      </c>
      <c r="BH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  <c r="BD12" s="38">
        <f>SUM(Table22[[#This Row],[Net Investment
April 16-30, 2026]:[Net Investment
May 01-15, 2026]])</f>
        <v/>
      </c>
      <c r="BE12" s="38">
        <f>SUM(Table22[[#This Row],[Net Investment
April 01-15, 2026]:[Net Investment
May 01-15, 2026]])</f>
        <v/>
      </c>
      <c r="BF12" s="38">
        <f>SUM(Table22[[#This Row],[Net Investment
March 16-31, 2026]:[Net Investment
May 01-15, 2026]])</f>
        <v/>
      </c>
      <c r="BG12" s="38">
        <f>SUM(Table22[[#This Row],[Net Investment
March 01-15, 2026]:[Net Investment
May 01-15, 2026]])</f>
        <v/>
      </c>
      <c r="BH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  <c r="BD13" s="38">
        <f>SUM(Table22[[#This Row],[Net Investment
April 16-30, 2026]:[Net Investment
May 01-15, 2026]])</f>
        <v/>
      </c>
      <c r="BE13" s="38">
        <f>SUM(Table22[[#This Row],[Net Investment
April 01-15, 2026]:[Net Investment
May 01-15, 2026]])</f>
        <v/>
      </c>
      <c r="BF13" s="38">
        <f>SUM(Table22[[#This Row],[Net Investment
March 16-31, 2026]:[Net Investment
May 01-15, 2026]])</f>
        <v/>
      </c>
      <c r="BG13" s="38">
        <f>SUM(Table22[[#This Row],[Net Investment
March 01-15, 2026]:[Net Investment
May 01-15, 2026]])</f>
        <v/>
      </c>
      <c r="BH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  <c r="BD14" s="38">
        <f>SUM(Table22[[#This Row],[Net Investment
April 16-30, 2026]:[Net Investment
May 01-15, 2026]])</f>
        <v/>
      </c>
      <c r="BE14" s="38">
        <f>SUM(Table22[[#This Row],[Net Investment
April 01-15, 2026]:[Net Investment
May 01-15, 2026]])</f>
        <v/>
      </c>
      <c r="BF14" s="38">
        <f>SUM(Table22[[#This Row],[Net Investment
March 16-31, 2026]:[Net Investment
May 01-15, 2026]])</f>
        <v/>
      </c>
      <c r="BG14" s="38">
        <f>SUM(Table22[[#This Row],[Net Investment
March 01-15, 2026]:[Net Investment
May 01-15, 2026]])</f>
        <v/>
      </c>
      <c r="BH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  <c r="BD15" s="38">
        <f>SUM(Table22[[#This Row],[Net Investment
April 16-30, 2026]:[Net Investment
May 01-15, 2026]])</f>
        <v/>
      </c>
      <c r="BE15" s="38">
        <f>SUM(Table22[[#This Row],[Net Investment
April 01-15, 2026]:[Net Investment
May 01-15, 2026]])</f>
        <v/>
      </c>
      <c r="BF15" s="38">
        <f>SUM(Table22[[#This Row],[Net Investment
March 16-31, 2026]:[Net Investment
May 01-15, 2026]])</f>
        <v/>
      </c>
      <c r="BG15" s="38">
        <f>SUM(Table22[[#This Row],[Net Investment
March 01-15, 2026]:[Net Investment
May 01-15, 2026]])</f>
        <v/>
      </c>
      <c r="BH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  <c r="BD16" s="38">
        <f>SUM(Table22[[#This Row],[Net Investment
April 16-30, 2026]:[Net Investment
May 01-15, 2026]])</f>
        <v/>
      </c>
      <c r="BE16" s="38">
        <f>SUM(Table22[[#This Row],[Net Investment
April 01-15, 2026]:[Net Investment
May 01-15, 2026]])</f>
        <v/>
      </c>
      <c r="BF16" s="38">
        <f>SUM(Table22[[#This Row],[Net Investment
March 16-31, 2026]:[Net Investment
May 01-15, 2026]])</f>
        <v/>
      </c>
      <c r="BG16" s="38">
        <f>SUM(Table22[[#This Row],[Net Investment
March 01-15, 2026]:[Net Investment
May 01-15, 2026]])</f>
        <v/>
      </c>
      <c r="BH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  <c r="BD17" s="38">
        <f>SUM(Table22[[#This Row],[Net Investment
April 16-30, 2026]:[Net Investment
May 01-15, 2026]])</f>
        <v/>
      </c>
      <c r="BE17" s="38">
        <f>SUM(Table22[[#This Row],[Net Investment
April 01-15, 2026]:[Net Investment
May 01-15, 2026]])</f>
        <v/>
      </c>
      <c r="BF17" s="38">
        <f>SUM(Table22[[#This Row],[Net Investment
March 16-31, 2026]:[Net Investment
May 01-15, 2026]])</f>
        <v/>
      </c>
      <c r="BG17" s="38">
        <f>SUM(Table22[[#This Row],[Net Investment
March 01-15, 2026]:[Net Investment
May 01-15, 2026]])</f>
        <v/>
      </c>
      <c r="BH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  <c r="BD18" s="38">
        <f>SUM(Table22[[#This Row],[Net Investment
April 16-30, 2026]:[Net Investment
May 01-15, 2026]])</f>
        <v/>
      </c>
      <c r="BE18" s="38">
        <f>SUM(Table22[[#This Row],[Net Investment
April 01-15, 2026]:[Net Investment
May 01-15, 2026]])</f>
        <v/>
      </c>
      <c r="BF18" s="38">
        <f>SUM(Table22[[#This Row],[Net Investment
March 16-31, 2026]:[Net Investment
May 01-15, 2026]])</f>
        <v/>
      </c>
      <c r="BG18" s="38">
        <f>SUM(Table22[[#This Row],[Net Investment
March 01-15, 2026]:[Net Investment
May 01-15, 2026]])</f>
        <v/>
      </c>
      <c r="BH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  <c r="BD19" s="38">
        <f>SUM(Table22[[#This Row],[Net Investment
April 16-30, 2026]:[Net Investment
May 01-15, 2026]])</f>
        <v/>
      </c>
      <c r="BE19" s="38">
        <f>SUM(Table22[[#This Row],[Net Investment
April 01-15, 2026]:[Net Investment
May 01-15, 2026]])</f>
        <v/>
      </c>
      <c r="BF19" s="38">
        <f>SUM(Table22[[#This Row],[Net Investment
March 16-31, 2026]:[Net Investment
May 01-15, 2026]])</f>
        <v/>
      </c>
      <c r="BG19" s="38">
        <f>SUM(Table22[[#This Row],[Net Investment
March 01-15, 2026]:[Net Investment
May 01-15, 2026]])</f>
        <v/>
      </c>
      <c r="BH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  <c r="BD20" s="38">
        <f>SUM(Table22[[#This Row],[Net Investment
April 16-30, 2026]:[Net Investment
May 01-15, 2026]])</f>
        <v/>
      </c>
      <c r="BE20" s="38">
        <f>SUM(Table22[[#This Row],[Net Investment
April 01-15, 2026]:[Net Investment
May 01-15, 2026]])</f>
        <v/>
      </c>
      <c r="BF20" s="38">
        <f>SUM(Table22[[#This Row],[Net Investment
March 16-31, 2026]:[Net Investment
May 01-15, 2026]])</f>
        <v/>
      </c>
      <c r="BG20" s="38">
        <f>SUM(Table22[[#This Row],[Net Investment
March 01-15, 2026]:[Net Investment
May 01-15, 2026]])</f>
        <v/>
      </c>
      <c r="BH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A21" t="n">
        <v>-1661</v>
      </c>
      <c r="BB21" t="n">
        <v>-991</v>
      </c>
      <c r="BD21" s="38">
        <f>SUM(Table22[[#This Row],[Net Investment
April 16-30, 2026]:[Net Investment
May 01-15, 2026]])</f>
        <v/>
      </c>
      <c r="BE21" s="38">
        <f>SUM(Table22[[#This Row],[Net Investment
April 01-15, 2026]:[Net Investment
May 01-15, 2026]])</f>
        <v/>
      </c>
      <c r="BF21" s="38">
        <f>SUM(Table22[[#This Row],[Net Investment
March 16-31, 2026]:[Net Investment
May 01-15, 2026]])</f>
        <v/>
      </c>
      <c r="BG21" s="38">
        <f>SUM(Table22[[#This Row],[Net Investment
March 01-15, 2026]:[Net Investment
May 01-15, 2026]])</f>
        <v/>
      </c>
      <c r="BH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A22" t="n">
        <v>-294</v>
      </c>
      <c r="BB22" t="n">
        <v>10</v>
      </c>
      <c r="BD22" s="38">
        <f>SUM(Table22[[#This Row],[Net Investment
April 16-30, 2026]:[Net Investment
May 01-15, 2026]])</f>
        <v/>
      </c>
      <c r="BE22" s="38">
        <f>SUM(Table22[[#This Row],[Net Investment
April 01-15, 2026]:[Net Investment
May 01-15, 2026]])</f>
        <v/>
      </c>
      <c r="BF22" s="38">
        <f>SUM(Table22[[#This Row],[Net Investment
March 16-31, 2026]:[Net Investment
May 01-15, 2026]])</f>
        <v/>
      </c>
      <c r="BG22" s="38">
        <f>SUM(Table22[[#This Row],[Net Investment
March 01-15, 2026]:[Net Investment
May 01-15, 2026]])</f>
        <v/>
      </c>
      <c r="BH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A23" t="n">
        <v>-38</v>
      </c>
      <c r="BB23" t="n">
        <v>194</v>
      </c>
      <c r="BD23" s="38">
        <f>SUM(Table22[[#This Row],[Net Investment
April 16-30, 2026]:[Net Investment
May 01-15, 2026]])</f>
        <v/>
      </c>
      <c r="BE23" s="38">
        <f>SUM(Table22[[#This Row],[Net Investment
April 01-15, 2026]:[Net Investment
May 01-15, 2026]])</f>
        <v/>
      </c>
      <c r="BF23" s="38">
        <f>SUM(Table22[[#This Row],[Net Investment
March 16-31, 2026]:[Net Investment
May 01-15, 2026]])</f>
        <v/>
      </c>
      <c r="BG23" s="38">
        <f>SUM(Table22[[#This Row],[Net Investment
March 01-15, 2026]:[Net Investment
May 01-15, 2026]])</f>
        <v/>
      </c>
      <c r="BH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D24" s="38">
        <f>SUM(Table22[[#This Row],[Net Investment
April 16-30, 2026]:[Net Investment
May 01-15, 2026]])</f>
        <v/>
      </c>
      <c r="BE24" s="38">
        <f>SUM(Table22[[#This Row],[Net Investment
April 01-15, 2026]:[Net Investment
May 01-15, 2026]])</f>
        <v/>
      </c>
      <c r="BF24" s="38">
        <f>SUM(Table22[[#This Row],[Net Investment
March 16-31, 2026]:[Net Investment
May 01-15, 2026]])</f>
        <v/>
      </c>
      <c r="BG24" s="38">
        <f>SUM(Table22[[#This Row],[Net Investment
March 01-15, 2026]:[Net Investment
May 01-15, 2026]])</f>
        <v/>
      </c>
      <c r="BH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  <c r="BD25" s="38">
        <f>SUM(Table22[[#This Row],[Net Investment
April 16-30, 2026]:[Net Investment
May 01-15, 2026]])</f>
        <v/>
      </c>
      <c r="BE25" s="38">
        <f>SUM(Table22[[#This Row],[Net Investment
April 01-15, 2026]:[Net Investment
May 01-15, 2026]])</f>
        <v/>
      </c>
      <c r="BF25" s="38">
        <f>SUM(Table22[[#This Row],[Net Investment
March 16-31, 2026]:[Net Investment
May 01-15, 2026]])</f>
        <v/>
      </c>
      <c r="BG25" s="38">
        <f>SUM(Table22[[#This Row],[Net Investment
March 01-15, 2026]:[Net Investment
May 01-15, 2026]])</f>
        <v/>
      </c>
      <c r="BH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D26" s="38">
        <f>SUM(Table22[[#This Row],[Net Investment
April 16-30, 2026]:[Net Investment
May 01-15, 2026]])</f>
        <v/>
      </c>
      <c r="BE26" s="38">
        <f>SUM(Table22[[#This Row],[Net Investment
April 01-15, 2026]:[Net Investment
May 01-15, 2026]])</f>
        <v/>
      </c>
      <c r="BF26" s="38">
        <f>SUM(Table22[[#This Row],[Net Investment
March 16-31, 2026]:[Net Investment
May 01-15, 2026]])</f>
        <v/>
      </c>
      <c r="BG26" s="38">
        <f>SUM(Table22[[#This Row],[Net Investment
March 01-15, 2026]:[Net Investment
May 01-15, 2026]])</f>
        <v/>
      </c>
      <c r="BH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70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  <row r="1223">
      <c r="A1223" s="43" t="n">
        <v>46265</v>
      </c>
      <c r="B1223" t="inlineStr">
        <is>
          <t>Aug 16-31, 2026</t>
        </is>
      </c>
      <c r="C1223" t="inlineStr">
        <is>
          <t>Automobile and Auto Components</t>
        </is>
      </c>
      <c r="D1223" t="n">
        <v>-1299</v>
      </c>
      <c r="E1223" t="n">
        <v>-3</v>
      </c>
      <c r="F1223" t="n">
        <v>0</v>
      </c>
      <c r="G1223" t="n">
        <v>0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-1302</v>
      </c>
    </row>
    <row r="1224">
      <c r="A1224" s="43" t="n">
        <v>46265</v>
      </c>
      <c r="B1224" t="inlineStr">
        <is>
          <t>Aug 16-31, 2026</t>
        </is>
      </c>
      <c r="C1224" t="inlineStr">
        <is>
          <t>Capital Goods</t>
        </is>
      </c>
      <c r="D1224" t="n">
        <v>2162</v>
      </c>
      <c r="E1224" t="n">
        <v>-5</v>
      </c>
      <c r="F1224" t="n">
        <v>0</v>
      </c>
      <c r="G1224" t="n">
        <v>0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2157</v>
      </c>
    </row>
    <row r="1225">
      <c r="A1225" s="43" t="n">
        <v>46265</v>
      </c>
      <c r="B1225" t="inlineStr">
        <is>
          <t>Aug 16-31, 2026</t>
        </is>
      </c>
      <c r="C1225" t="inlineStr">
        <is>
          <t>Chemicals</t>
        </is>
      </c>
      <c r="D1225" t="n">
        <v>543</v>
      </c>
      <c r="E1225" t="n">
        <v>0</v>
      </c>
      <c r="F1225" t="n">
        <v>0</v>
      </c>
      <c r="G1225" t="n">
        <v>0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543</v>
      </c>
    </row>
    <row r="1226">
      <c r="A1226" s="43" t="n">
        <v>46265</v>
      </c>
      <c r="B1226" t="inlineStr">
        <is>
          <t>Aug 16-31, 2026</t>
        </is>
      </c>
      <c r="C1226" t="inlineStr">
        <is>
          <t>Construction</t>
        </is>
      </c>
      <c r="D1226" t="n">
        <v>442</v>
      </c>
      <c r="E1226" t="n">
        <v>0</v>
      </c>
      <c r="F1226" t="n">
        <v>0</v>
      </c>
      <c r="G1226" t="n">
        <v>0</v>
      </c>
      <c r="H1226" t="n">
        <v>-1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441</v>
      </c>
    </row>
    <row r="1227">
      <c r="A1227" s="43" t="n">
        <v>46265</v>
      </c>
      <c r="B1227" t="inlineStr">
        <is>
          <t>Aug 16-31, 2026</t>
        </is>
      </c>
      <c r="C1227" t="inlineStr">
        <is>
          <t>Construction Materials</t>
        </is>
      </c>
      <c r="D1227" t="n">
        <v>-250</v>
      </c>
      <c r="E1227" t="n">
        <v>0</v>
      </c>
      <c r="F1227" t="n">
        <v>0</v>
      </c>
      <c r="G1227" t="n">
        <v>0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-250</v>
      </c>
    </row>
    <row r="1228">
      <c r="A1228" s="43" t="n">
        <v>46265</v>
      </c>
      <c r="B1228" t="inlineStr">
        <is>
          <t>Aug 16-31, 2026</t>
        </is>
      </c>
      <c r="C1228" t="inlineStr">
        <is>
          <t>Consumer Durables</t>
        </is>
      </c>
      <c r="D1228" t="n">
        <v>2431</v>
      </c>
      <c r="E1228" t="n">
        <v>0</v>
      </c>
      <c r="F1228" t="n">
        <v>0</v>
      </c>
      <c r="G1228" t="n">
        <v>0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2431</v>
      </c>
    </row>
    <row r="1229">
      <c r="A1229" s="43" t="n">
        <v>46265</v>
      </c>
      <c r="B1229" t="inlineStr">
        <is>
          <t>Aug 16-31, 2026</t>
        </is>
      </c>
      <c r="C1229" t="inlineStr">
        <is>
          <t>Consumer Services</t>
        </is>
      </c>
      <c r="D1229" t="n">
        <v>5019</v>
      </c>
      <c r="E1229" t="n">
        <v>0</v>
      </c>
      <c r="F1229" t="n">
        <v>0</v>
      </c>
      <c r="G1229" t="n">
        <v>0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5019</v>
      </c>
    </row>
    <row r="1230">
      <c r="A1230" s="43" t="n">
        <v>46265</v>
      </c>
      <c r="B1230" t="inlineStr">
        <is>
          <t>Aug 16-31, 2026</t>
        </is>
      </c>
      <c r="C1230" t="inlineStr">
        <is>
          <t>Diversified</t>
        </is>
      </c>
      <c r="D1230" t="n">
        <v>-4</v>
      </c>
      <c r="E1230" t="n">
        <v>0</v>
      </c>
      <c r="F1230" t="n">
        <v>0</v>
      </c>
      <c r="G1230" t="n">
        <v>0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-4</v>
      </c>
    </row>
    <row r="1231">
      <c r="A1231" s="43" t="n">
        <v>46265</v>
      </c>
      <c r="B1231" t="inlineStr">
        <is>
          <t>Aug 16-31, 2026</t>
        </is>
      </c>
      <c r="C1231" t="inlineStr">
        <is>
          <t>Fast Moving Consumer Goods</t>
        </is>
      </c>
      <c r="D1231" t="n">
        <v>-1727</v>
      </c>
      <c r="E1231" t="n">
        <v>0</v>
      </c>
      <c r="F1231" t="n">
        <v>0</v>
      </c>
      <c r="G1231" t="n">
        <v>0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-1727</v>
      </c>
    </row>
    <row r="1232">
      <c r="A1232" s="43" t="n">
        <v>46265</v>
      </c>
      <c r="B1232" t="inlineStr">
        <is>
          <t>Aug 16-31, 2026</t>
        </is>
      </c>
      <c r="C1232" t="inlineStr">
        <is>
          <t>Financial Services</t>
        </is>
      </c>
      <c r="D1232" t="n">
        <v>3959</v>
      </c>
      <c r="E1232" t="n">
        <v>-718</v>
      </c>
      <c r="F1232" t="n">
        <v>860</v>
      </c>
      <c r="G1232" t="n">
        <v>0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-3</v>
      </c>
      <c r="N1232" t="n">
        <v>0</v>
      </c>
      <c r="O1232" t="n">
        <v>4098</v>
      </c>
    </row>
    <row r="1233">
      <c r="A1233" s="43" t="n">
        <v>46265</v>
      </c>
      <c r="B1233" t="inlineStr">
        <is>
          <t>Aug 16-31, 2026</t>
        </is>
      </c>
      <c r="C1233" t="inlineStr">
        <is>
          <t>Forest Materials</t>
        </is>
      </c>
      <c r="D1233" t="n">
        <v>-7</v>
      </c>
      <c r="E1233" t="n">
        <v>0</v>
      </c>
      <c r="F1233" t="n">
        <v>0</v>
      </c>
      <c r="G1233" t="n">
        <v>0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-7</v>
      </c>
    </row>
    <row r="1234">
      <c r="A1234" s="43" t="n">
        <v>46265</v>
      </c>
      <c r="B1234" t="inlineStr">
        <is>
          <t>Aug 16-31, 2026</t>
        </is>
      </c>
      <c r="C1234" t="inlineStr">
        <is>
          <t>Healthcare</t>
        </is>
      </c>
      <c r="D1234" t="n">
        <v>3021</v>
      </c>
      <c r="E1234" t="n">
        <v>0</v>
      </c>
      <c r="F1234" t="n">
        <v>0</v>
      </c>
      <c r="G1234" t="n">
        <v>0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3021</v>
      </c>
    </row>
    <row r="1235">
      <c r="A1235" s="43" t="n">
        <v>46265</v>
      </c>
      <c r="B1235" t="inlineStr">
        <is>
          <t>Aug 16-31, 2026</t>
        </is>
      </c>
      <c r="C1235" t="inlineStr">
        <is>
          <t>Information Technology</t>
        </is>
      </c>
      <c r="D1235" t="n">
        <v>1573</v>
      </c>
      <c r="E1235" t="n">
        <v>0</v>
      </c>
      <c r="F1235" t="n">
        <v>0</v>
      </c>
      <c r="G1235" t="n">
        <v>0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1573</v>
      </c>
    </row>
    <row r="1236">
      <c r="A1236" s="43" t="n">
        <v>46265</v>
      </c>
      <c r="B1236" t="inlineStr">
        <is>
          <t>Aug 16-31, 2026</t>
        </is>
      </c>
      <c r="C1236" t="inlineStr">
        <is>
          <t>Media, Entertainment &amp; Publication</t>
        </is>
      </c>
      <c r="D1236" t="n">
        <v>72</v>
      </c>
      <c r="E1236" t="n">
        <v>0</v>
      </c>
      <c r="F1236" t="n">
        <v>0</v>
      </c>
      <c r="G1236" t="n">
        <v>0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72</v>
      </c>
    </row>
    <row r="1237">
      <c r="A1237" s="43" t="n">
        <v>46265</v>
      </c>
      <c r="B1237" t="inlineStr">
        <is>
          <t>Aug 16-31, 2026</t>
        </is>
      </c>
      <c r="C1237" t="inlineStr">
        <is>
          <t>Metals &amp; Mining</t>
        </is>
      </c>
      <c r="D1237" t="n">
        <v>1087</v>
      </c>
      <c r="E1237" t="n">
        <v>0</v>
      </c>
      <c r="F1237" t="n">
        <v>0</v>
      </c>
      <c r="G1237" t="n">
        <v>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1087</v>
      </c>
    </row>
    <row r="1238">
      <c r="A1238" s="43" t="n">
        <v>46265</v>
      </c>
      <c r="B1238" t="inlineStr">
        <is>
          <t>Aug 16-31, 2026</t>
        </is>
      </c>
      <c r="C1238" t="inlineStr">
        <is>
          <t>Oil, Gas &amp; Consumable Fuels</t>
        </is>
      </c>
      <c r="D1238" t="n">
        <v>-2251</v>
      </c>
      <c r="E1238" t="n">
        <v>0</v>
      </c>
      <c r="F1238" t="n">
        <v>0</v>
      </c>
      <c r="G1238" t="n">
        <v>0</v>
      </c>
      <c r="H1238" t="n">
        <v>-5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-2256</v>
      </c>
    </row>
    <row r="1239">
      <c r="A1239" s="43" t="n">
        <v>46265</v>
      </c>
      <c r="B1239" t="inlineStr">
        <is>
          <t>Aug 16-31, 2026</t>
        </is>
      </c>
      <c r="C1239" t="inlineStr">
        <is>
          <t>Others</t>
        </is>
      </c>
      <c r="D1239" t="n">
        <v>-992</v>
      </c>
      <c r="E1239" t="n">
        <v>-441</v>
      </c>
      <c r="F1239" t="n">
        <v>1225</v>
      </c>
      <c r="G1239" t="n">
        <v>0</v>
      </c>
      <c r="H1239" t="n">
        <v>96</v>
      </c>
      <c r="I1239" t="n">
        <v>54</v>
      </c>
      <c r="J1239" t="n">
        <v>-8</v>
      </c>
      <c r="K1239" t="n">
        <v>-43</v>
      </c>
      <c r="L1239" t="n">
        <v>0</v>
      </c>
      <c r="M1239" t="n">
        <v>-79</v>
      </c>
      <c r="N1239" t="n">
        <v>0</v>
      </c>
      <c r="O1239" t="n">
        <v>-188</v>
      </c>
    </row>
    <row r="1240">
      <c r="A1240" s="43" t="n">
        <v>46265</v>
      </c>
      <c r="B1240" t="inlineStr">
        <is>
          <t>Aug 16-31, 2026</t>
        </is>
      </c>
      <c r="C1240" t="inlineStr">
        <is>
          <t>Power</t>
        </is>
      </c>
      <c r="D1240" t="n">
        <v>-389</v>
      </c>
      <c r="E1240" t="n">
        <v>-20</v>
      </c>
      <c r="F1240" t="n">
        <v>0</v>
      </c>
      <c r="G1240" t="n">
        <v>0</v>
      </c>
      <c r="H1240" t="n">
        <v>-16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-425</v>
      </c>
    </row>
    <row r="1241">
      <c r="A1241" s="43" t="n">
        <v>46265</v>
      </c>
      <c r="B1241" t="inlineStr">
        <is>
          <t>Aug 16-31, 2026</t>
        </is>
      </c>
      <c r="C1241" t="inlineStr">
        <is>
          <t>Realty</t>
        </is>
      </c>
      <c r="D1241" t="n">
        <v>420</v>
      </c>
      <c r="E1241" t="n">
        <v>0</v>
      </c>
      <c r="F1241" t="n">
        <v>0</v>
      </c>
      <c r="G1241" t="n">
        <v>0</v>
      </c>
      <c r="H1241" t="n">
        <v>-2042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-1622</v>
      </c>
    </row>
    <row r="1242">
      <c r="A1242" s="43" t="n">
        <v>46265</v>
      </c>
      <c r="B1242" t="inlineStr">
        <is>
          <t>Aug 16-31, 2026</t>
        </is>
      </c>
      <c r="C1242" t="inlineStr">
        <is>
          <t>Services</t>
        </is>
      </c>
      <c r="D1242" t="n">
        <v>1193</v>
      </c>
      <c r="E1242" t="n">
        <v>0</v>
      </c>
      <c r="F1242" t="n">
        <v>-200</v>
      </c>
      <c r="G1242" t="n">
        <v>0</v>
      </c>
      <c r="H1242" t="n">
        <v>-45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948</v>
      </c>
    </row>
    <row r="1243">
      <c r="A1243" s="43" t="n">
        <v>46265</v>
      </c>
      <c r="B1243" t="inlineStr">
        <is>
          <t>Aug 16-31, 2026</t>
        </is>
      </c>
      <c r="C1243" t="inlineStr">
        <is>
          <t>Sovereign</t>
        </is>
      </c>
      <c r="D1243" t="n">
        <v>0</v>
      </c>
      <c r="E1243" t="n">
        <v>-1101</v>
      </c>
      <c r="F1243" t="n">
        <v>0</v>
      </c>
      <c r="G1243" t="n">
        <v>-708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-1809</v>
      </c>
    </row>
    <row r="1244">
      <c r="A1244" s="43" t="n">
        <v>46265</v>
      </c>
      <c r="B1244" t="inlineStr">
        <is>
          <t>Aug 16-31, 2026</t>
        </is>
      </c>
      <c r="C1244" t="inlineStr">
        <is>
          <t>Telecommunication</t>
        </is>
      </c>
      <c r="D1244" t="n">
        <v>-1661</v>
      </c>
      <c r="E1244" t="n">
        <v>0</v>
      </c>
      <c r="F1244" t="n">
        <v>0</v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-1661</v>
      </c>
    </row>
    <row r="1245">
      <c r="A1245" s="43" t="n">
        <v>46265</v>
      </c>
      <c r="B1245" t="inlineStr">
        <is>
          <t>Aug 16-31, 2026</t>
        </is>
      </c>
      <c r="C1245" t="inlineStr">
        <is>
          <t>Textiles</t>
        </is>
      </c>
      <c r="D1245" t="n">
        <v>-294</v>
      </c>
      <c r="E1245" t="n">
        <v>0</v>
      </c>
      <c r="F1245" t="n">
        <v>0</v>
      </c>
      <c r="G1245" t="n">
        <v>0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-294</v>
      </c>
    </row>
    <row r="1246">
      <c r="A1246" s="43" t="n">
        <v>46265</v>
      </c>
      <c r="B1246" t="inlineStr">
        <is>
          <t>Aug 16-31, 2026</t>
        </is>
      </c>
      <c r="C1246" t="inlineStr">
        <is>
          <t>Utilities</t>
        </is>
      </c>
      <c r="D1246" t="n">
        <v>-38</v>
      </c>
      <c r="E1246" t="n">
        <v>-6</v>
      </c>
      <c r="F1246" t="n">
        <v>0</v>
      </c>
      <c r="G1246" t="n">
        <v>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-44</v>
      </c>
    </row>
    <row r="1247">
      <c r="A1247" s="43" t="n">
        <v>46280</v>
      </c>
      <c r="B1247" t="inlineStr">
        <is>
          <t>Sep 01-15, 2026</t>
        </is>
      </c>
      <c r="C1247" t="inlineStr">
        <is>
          <t>Automobile and Auto Components</t>
        </is>
      </c>
      <c r="D1247" t="n">
        <v>-2670</v>
      </c>
      <c r="E1247" t="n">
        <v>-782</v>
      </c>
      <c r="F1247" t="n">
        <v>0</v>
      </c>
      <c r="G1247" t="n">
        <v>0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-3452</v>
      </c>
    </row>
    <row r="1248">
      <c r="A1248" s="43" t="n">
        <v>46280</v>
      </c>
      <c r="B1248" t="inlineStr">
        <is>
          <t>Sep 01-15, 2026</t>
        </is>
      </c>
      <c r="C1248" t="inlineStr">
        <is>
          <t>Capital Goods</t>
        </is>
      </c>
      <c r="D1248" t="n">
        <v>-108</v>
      </c>
      <c r="E1248" t="n">
        <v>0</v>
      </c>
      <c r="F1248" t="n">
        <v>0</v>
      </c>
      <c r="G1248" t="n">
        <v>0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-108</v>
      </c>
    </row>
    <row r="1249">
      <c r="A1249" s="43" t="n">
        <v>46280</v>
      </c>
      <c r="B1249" t="inlineStr">
        <is>
          <t>Sep 01-15, 2026</t>
        </is>
      </c>
      <c r="C1249" t="inlineStr">
        <is>
          <t>Chemicals</t>
        </is>
      </c>
      <c r="D1249" t="n">
        <v>228</v>
      </c>
      <c r="E1249" t="n">
        <v>0</v>
      </c>
      <c r="F1249" t="n">
        <v>0</v>
      </c>
      <c r="G1249" t="n">
        <v>0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228</v>
      </c>
    </row>
    <row r="1250">
      <c r="A1250" s="43" t="n">
        <v>46280</v>
      </c>
      <c r="B1250" t="inlineStr">
        <is>
          <t>Sep 01-15, 2026</t>
        </is>
      </c>
      <c r="C1250" t="inlineStr">
        <is>
          <t>Construction</t>
        </is>
      </c>
      <c r="D1250" t="n">
        <v>930</v>
      </c>
      <c r="E1250" t="n">
        <v>0</v>
      </c>
      <c r="F1250" t="n">
        <v>0</v>
      </c>
      <c r="G1250" t="n">
        <v>0</v>
      </c>
      <c r="H1250" t="n">
        <v>-1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929</v>
      </c>
    </row>
    <row r="1251">
      <c r="A1251" s="43" t="n">
        <v>46280</v>
      </c>
      <c r="B1251" t="inlineStr">
        <is>
          <t>Sep 01-15, 2026</t>
        </is>
      </c>
      <c r="C1251" t="inlineStr">
        <is>
          <t>Construction Materials</t>
        </is>
      </c>
      <c r="D1251" t="n">
        <v>-358</v>
      </c>
      <c r="E1251" t="n">
        <v>0</v>
      </c>
      <c r="F1251" t="n">
        <v>0</v>
      </c>
      <c r="G1251" t="n">
        <v>0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-358</v>
      </c>
    </row>
    <row r="1252">
      <c r="A1252" s="43" t="n">
        <v>46280</v>
      </c>
      <c r="B1252" t="inlineStr">
        <is>
          <t>Sep 01-15, 2026</t>
        </is>
      </c>
      <c r="C1252" t="inlineStr">
        <is>
          <t>Consumer Durables</t>
        </is>
      </c>
      <c r="D1252" t="n">
        <v>-397</v>
      </c>
      <c r="E1252" t="n">
        <v>0</v>
      </c>
      <c r="F1252" t="n">
        <v>0</v>
      </c>
      <c r="G1252" t="n">
        <v>0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-397</v>
      </c>
    </row>
    <row r="1253">
      <c r="A1253" s="43" t="n">
        <v>46280</v>
      </c>
      <c r="B1253" t="inlineStr">
        <is>
          <t>Sep 01-15, 2026</t>
        </is>
      </c>
      <c r="C1253" t="inlineStr">
        <is>
          <t>Consumer Services</t>
        </is>
      </c>
      <c r="D1253" t="n">
        <v>422</v>
      </c>
      <c r="E1253" t="n">
        <v>0</v>
      </c>
      <c r="F1253" t="n">
        <v>0</v>
      </c>
      <c r="G1253" t="n">
        <v>0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422</v>
      </c>
    </row>
    <row r="1254">
      <c r="A1254" s="43" t="n">
        <v>46280</v>
      </c>
      <c r="B1254" t="inlineStr">
        <is>
          <t>Sep 01-15, 2026</t>
        </is>
      </c>
      <c r="C1254" t="inlineStr">
        <is>
          <t>Diversified</t>
        </is>
      </c>
      <c r="D1254" t="n">
        <v>-23</v>
      </c>
      <c r="E1254" t="n">
        <v>0</v>
      </c>
      <c r="F1254" t="n">
        <v>0</v>
      </c>
      <c r="G1254" t="n">
        <v>0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-23</v>
      </c>
    </row>
    <row r="1255">
      <c r="A1255" s="43" t="n">
        <v>46280</v>
      </c>
      <c r="B1255" t="inlineStr">
        <is>
          <t>Sep 01-15, 2026</t>
        </is>
      </c>
      <c r="C1255" t="inlineStr">
        <is>
          <t>Fast Moving Consumer Goods</t>
        </is>
      </c>
      <c r="D1255" t="n">
        <v>-2029</v>
      </c>
      <c r="E1255" t="n">
        <v>0</v>
      </c>
      <c r="F1255" t="n">
        <v>0</v>
      </c>
      <c r="G1255" t="n">
        <v>0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-2029</v>
      </c>
    </row>
    <row r="1256">
      <c r="A1256" s="43" t="n">
        <v>46280</v>
      </c>
      <c r="B1256" t="inlineStr">
        <is>
          <t>Sep 01-15, 2026</t>
        </is>
      </c>
      <c r="C1256" t="inlineStr">
        <is>
          <t>Financial Services</t>
        </is>
      </c>
      <c r="D1256" t="n">
        <v>-6204</v>
      </c>
      <c r="E1256" t="n">
        <v>-130</v>
      </c>
      <c r="F1256" t="n">
        <v>-472</v>
      </c>
      <c r="G1256" t="n">
        <v>0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-2</v>
      </c>
      <c r="N1256" t="n">
        <v>0</v>
      </c>
      <c r="O1256" t="n">
        <v>-6808</v>
      </c>
    </row>
    <row r="1257">
      <c r="A1257" s="43" t="n">
        <v>46280</v>
      </c>
      <c r="B1257" t="inlineStr">
        <is>
          <t>Sep 01-15, 2026</t>
        </is>
      </c>
      <c r="C1257" t="inlineStr">
        <is>
          <t>Forest Materials</t>
        </is>
      </c>
      <c r="D1257" t="n">
        <v>7</v>
      </c>
      <c r="E1257" t="n">
        <v>0</v>
      </c>
      <c r="F1257" t="n">
        <v>0</v>
      </c>
      <c r="G1257" t="n">
        <v>0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7</v>
      </c>
    </row>
    <row r="1258">
      <c r="A1258" s="43" t="n">
        <v>46280</v>
      </c>
      <c r="B1258" t="inlineStr">
        <is>
          <t>Sep 01-15, 2026</t>
        </is>
      </c>
      <c r="C1258" t="inlineStr">
        <is>
          <t>Healthcare</t>
        </is>
      </c>
      <c r="D1258" t="n">
        <v>2114</v>
      </c>
      <c r="E1258" t="n">
        <v>0</v>
      </c>
      <c r="F1258" t="n">
        <v>0</v>
      </c>
      <c r="G1258" t="n">
        <v>0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2114</v>
      </c>
    </row>
    <row r="1259">
      <c r="A1259" s="43" t="n">
        <v>46280</v>
      </c>
      <c r="B1259" t="inlineStr">
        <is>
          <t>Sep 01-15, 2026</t>
        </is>
      </c>
      <c r="C1259" t="inlineStr">
        <is>
          <t>Information Technology</t>
        </is>
      </c>
      <c r="D1259" t="n">
        <v>-960</v>
      </c>
      <c r="E1259" t="n">
        <v>0</v>
      </c>
      <c r="F1259" t="n">
        <v>0</v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-960</v>
      </c>
    </row>
    <row r="1260">
      <c r="A1260" s="43" t="n">
        <v>46280</v>
      </c>
      <c r="B1260" t="inlineStr">
        <is>
          <t>Sep 01-15, 2026</t>
        </is>
      </c>
      <c r="C1260" t="inlineStr">
        <is>
          <t>Media, Entertainment &amp; Publication</t>
        </is>
      </c>
      <c r="D1260" t="n">
        <v>-93</v>
      </c>
      <c r="E1260" t="n">
        <v>0</v>
      </c>
      <c r="F1260" t="n">
        <v>0</v>
      </c>
      <c r="G1260" t="n">
        <v>0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-93</v>
      </c>
    </row>
    <row r="1261">
      <c r="A1261" s="43" t="n">
        <v>46280</v>
      </c>
      <c r="B1261" t="inlineStr">
        <is>
          <t>Sep 01-15, 2026</t>
        </is>
      </c>
      <c r="C1261" t="inlineStr">
        <is>
          <t>Metals &amp; Mining</t>
        </is>
      </c>
      <c r="D1261" t="n">
        <v>-681</v>
      </c>
      <c r="E1261" t="n">
        <v>0</v>
      </c>
      <c r="F1261" t="n">
        <v>0</v>
      </c>
      <c r="G1261" t="n">
        <v>0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-681</v>
      </c>
    </row>
    <row r="1262">
      <c r="A1262" s="43" t="n">
        <v>46280</v>
      </c>
      <c r="B1262" t="inlineStr">
        <is>
          <t>Sep 01-15, 2026</t>
        </is>
      </c>
      <c r="C1262" t="inlineStr">
        <is>
          <t>Oil, Gas &amp; Consumable Fuels</t>
        </is>
      </c>
      <c r="D1262" t="n">
        <v>-2385</v>
      </c>
      <c r="E1262" t="n">
        <v>0</v>
      </c>
      <c r="F1262" t="n">
        <v>0</v>
      </c>
      <c r="G1262" t="n">
        <v>0</v>
      </c>
      <c r="H1262" t="n">
        <v>-3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-2388</v>
      </c>
    </row>
    <row r="1263">
      <c r="A1263" s="43" t="n">
        <v>46280</v>
      </c>
      <c r="B1263" t="inlineStr">
        <is>
          <t>Sep 01-15, 2026</t>
        </is>
      </c>
      <c r="C1263" t="inlineStr">
        <is>
          <t>Others</t>
        </is>
      </c>
      <c r="D1263" t="n">
        <v>388</v>
      </c>
      <c r="E1263" t="n">
        <v>-1243</v>
      </c>
      <c r="F1263" t="n">
        <v>-70</v>
      </c>
      <c r="G1263" t="n">
        <v>0</v>
      </c>
      <c r="H1263" t="n">
        <v>0</v>
      </c>
      <c r="I1263" t="n">
        <v>49</v>
      </c>
      <c r="J1263" t="n">
        <v>107</v>
      </c>
      <c r="K1263" t="n">
        <v>-3</v>
      </c>
      <c r="L1263" t="n">
        <v>0</v>
      </c>
      <c r="M1263" t="n">
        <v>-37</v>
      </c>
      <c r="N1263" t="n">
        <v>0</v>
      </c>
      <c r="O1263" t="n">
        <v>-809</v>
      </c>
    </row>
    <row r="1264">
      <c r="A1264" s="43" t="n">
        <v>46280</v>
      </c>
      <c r="B1264" t="inlineStr">
        <is>
          <t>Sep 01-15, 2026</t>
        </is>
      </c>
      <c r="C1264" t="inlineStr">
        <is>
          <t>Power</t>
        </is>
      </c>
      <c r="D1264" t="n">
        <v>-1653</v>
      </c>
      <c r="E1264" t="n">
        <v>0</v>
      </c>
      <c r="F1264" t="n">
        <v>0</v>
      </c>
      <c r="G1264" t="n">
        <v>0</v>
      </c>
      <c r="H1264" t="n">
        <v>-19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-1672</v>
      </c>
    </row>
    <row r="1265">
      <c r="A1265" s="43" t="n">
        <v>46280</v>
      </c>
      <c r="B1265" t="inlineStr">
        <is>
          <t>Sep 01-15, 2026</t>
        </is>
      </c>
      <c r="C1265" t="inlineStr">
        <is>
          <t>Realty</t>
        </is>
      </c>
      <c r="D1265" t="n">
        <v>-762</v>
      </c>
      <c r="E1265" t="n">
        <v>-1</v>
      </c>
      <c r="F1265" t="n">
        <v>0</v>
      </c>
      <c r="G1265" t="n">
        <v>0</v>
      </c>
      <c r="H1265" t="n">
        <v>1094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331</v>
      </c>
    </row>
    <row r="1266">
      <c r="A1266" s="43" t="n">
        <v>46280</v>
      </c>
      <c r="B1266" t="inlineStr">
        <is>
          <t>Sep 01-15, 2026</t>
        </is>
      </c>
      <c r="C1266" t="inlineStr">
        <is>
          <t>Services</t>
        </is>
      </c>
      <c r="D1266" t="n">
        <v>905</v>
      </c>
      <c r="E1266" t="n">
        <v>480</v>
      </c>
      <c r="F1266" t="n">
        <v>0</v>
      </c>
      <c r="G1266" t="n">
        <v>0</v>
      </c>
      <c r="H1266" t="n">
        <v>-11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1374</v>
      </c>
    </row>
    <row r="1267">
      <c r="A1267" s="43" t="n">
        <v>46280</v>
      </c>
      <c r="B1267" t="inlineStr">
        <is>
          <t>Sep 01-15, 2026</t>
        </is>
      </c>
      <c r="C1267" t="inlineStr">
        <is>
          <t>Sovereign</t>
        </is>
      </c>
      <c r="D1267" t="n">
        <v>0</v>
      </c>
      <c r="E1267" t="n">
        <v>639</v>
      </c>
      <c r="F1267" t="n">
        <v>0</v>
      </c>
      <c r="G1267" t="n">
        <v>-6084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-5445</v>
      </c>
    </row>
    <row r="1268">
      <c r="A1268" s="43" t="n">
        <v>46280</v>
      </c>
      <c r="B1268" t="inlineStr">
        <is>
          <t>Sep 01-15, 2026</t>
        </is>
      </c>
      <c r="C1268" t="inlineStr">
        <is>
          <t>Telecommunication</t>
        </is>
      </c>
      <c r="D1268" t="n">
        <v>-991</v>
      </c>
      <c r="E1268" t="n">
        <v>0</v>
      </c>
      <c r="F1268" t="n">
        <v>0</v>
      </c>
      <c r="G1268" t="n">
        <v>0</v>
      </c>
      <c r="H1268" t="n">
        <v>-3483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-4474</v>
      </c>
    </row>
    <row r="1269">
      <c r="A1269" s="43" t="n">
        <v>46280</v>
      </c>
      <c r="B1269" t="inlineStr">
        <is>
          <t>Sep 01-15, 2026</t>
        </is>
      </c>
      <c r="C1269" t="inlineStr">
        <is>
          <t>Textiles</t>
        </is>
      </c>
      <c r="D1269" t="n">
        <v>10</v>
      </c>
      <c r="E1269" t="n">
        <v>0</v>
      </c>
      <c r="F1269" t="n">
        <v>0</v>
      </c>
      <c r="G1269" t="n">
        <v>0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10</v>
      </c>
    </row>
    <row r="1270">
      <c r="A1270" s="43" t="n">
        <v>46280</v>
      </c>
      <c r="B1270" t="inlineStr">
        <is>
          <t>Sep 01-15, 2026</t>
        </is>
      </c>
      <c r="C1270" t="inlineStr">
        <is>
          <t>Utilities</t>
        </is>
      </c>
      <c r="D1270" t="n">
        <v>194</v>
      </c>
      <c r="E1270" t="n">
        <v>0</v>
      </c>
      <c r="F1270" t="n">
        <v>0</v>
      </c>
      <c r="G1270" t="n">
        <v>0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194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  <col width="14" customWidth="1" style="30" min="53" max="53"/>
    <col width="14" customWidth="1" style="30" min="54" max="54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  <c r="BA1" s="41" t="inlineStr">
        <is>
          <t>2026-08-31</t>
        </is>
      </c>
      <c r="BB1" s="41" t="inlineStr">
        <is>
          <t>2026-09-15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>
        <v>-1299</v>
      </c>
      <c r="BB2" t="n">
        <v>-2670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A3" t="n">
        <v>2162</v>
      </c>
      <c r="BB3" t="n">
        <v>-108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A4" t="n">
        <v>543</v>
      </c>
      <c r="BB4" t="n">
        <v>228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A5" t="n">
        <v>442</v>
      </c>
      <c r="BB5" t="n">
        <v>930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A6" t="n">
        <v>-250</v>
      </c>
      <c r="BB6" t="n">
        <v>-358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A7" t="n">
        <v>2431</v>
      </c>
      <c r="BB7" t="n">
        <v>-397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A8" t="n">
        <v>5019</v>
      </c>
      <c r="BB8" t="n">
        <v>422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A9" t="n">
        <v>-4</v>
      </c>
      <c r="BB9" t="n">
        <v>-23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A10" t="n">
        <v>-1727</v>
      </c>
      <c r="BB10" t="n">
        <v>-2029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A11" t="n">
        <v>3959</v>
      </c>
      <c r="BB11" t="n">
        <v>-6204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A12" t="n">
        <v>-7</v>
      </c>
      <c r="BB12" t="n">
        <v>7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A13" t="n">
        <v>3021</v>
      </c>
      <c r="BB13" t="n">
        <v>2114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A14" t="n">
        <v>1573</v>
      </c>
      <c r="BB14" t="n">
        <v>-960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A15" t="n">
        <v>72</v>
      </c>
      <c r="BB15" t="n">
        <v>-93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A16" t="n">
        <v>1087</v>
      </c>
      <c r="BB16" t="n">
        <v>-681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A17" t="n">
        <v>-2251</v>
      </c>
      <c r="BB17" t="n">
        <v>-2385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A18" t="n">
        <v>-389</v>
      </c>
      <c r="BB18" t="n">
        <v>-1653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A19" t="n">
        <v>420</v>
      </c>
      <c r="BB19" t="n">
        <v>-762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A20" t="n">
        <v>1193</v>
      </c>
      <c r="B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  <c r="BA22" t="n">
        <v>-1661</v>
      </c>
      <c r="BB22" t="n">
        <v>-991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  <c r="BA23" t="n">
        <v>-294</v>
      </c>
      <c r="BB23" t="n">
        <v>10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  <c r="BA24" t="n">
        <v>-38</v>
      </c>
      <c r="BB24" t="n">
        <v>194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A25" t="n">
        <v>-992</v>
      </c>
      <c r="B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  <c r="BA26" s="42">
        <f>SUM(BA2:BA25)</f>
        <v/>
      </c>
      <c r="BB26" s="42">
        <f>SUM(BB2:BB25)</f>
        <v/>
      </c>
    </row>
  </sheetData>
  <conditionalFormatting sqref="B2:B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B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  <c r="AB1" s="41" t="inlineStr">
        <is>
          <t>Sep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3106</v>
      </c>
      <c r="AB2" t="n">
        <v>-2670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606</v>
      </c>
      <c r="AB3" t="n">
        <v>-108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858</v>
      </c>
      <c r="AB4" t="n">
        <v>228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38</v>
      </c>
      <c r="AB5" t="n">
        <v>930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134</v>
      </c>
      <c r="AB6" t="n">
        <v>-358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3903</v>
      </c>
      <c r="AB7" t="n">
        <v>-397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8417</v>
      </c>
      <c r="AB8" t="n">
        <v>422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-22</v>
      </c>
      <c r="AB9" t="n">
        <v>-23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-1916</v>
      </c>
      <c r="AB10" t="n">
        <v>-2029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10494</v>
      </c>
      <c r="AB11" t="n">
        <v>-6204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-16</v>
      </c>
      <c r="AB12" t="n">
        <v>7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5931</v>
      </c>
      <c r="AB13" t="n">
        <v>2114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4103</v>
      </c>
      <c r="AB14" t="n">
        <v>-960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66</v>
      </c>
      <c r="AB15" t="n">
        <v>-93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1807</v>
      </c>
      <c r="AB16" t="n">
        <v>-681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-1761</v>
      </c>
      <c r="AB17" t="n">
        <v>-2385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-1553</v>
      </c>
      <c r="AB18" t="n">
        <v>-1653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-594</v>
      </c>
      <c r="AB19" t="n">
        <v>-762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1783</v>
      </c>
      <c r="AB20" t="n">
        <v>905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-4983</v>
      </c>
      <c r="AB22" t="n">
        <v>-991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-293</v>
      </c>
      <c r="AB23" t="n">
        <v>10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-31</v>
      </c>
      <c r="AB24" t="n">
        <v>194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-449</v>
      </c>
      <c r="AB25" t="n">
        <v>388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</row>
  </sheetData>
  <conditionalFormatting sqref="B2:AB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-4128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-5777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1504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-231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2221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10848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19040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-17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-4573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3596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15800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6501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-292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6063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-4401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-6069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437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5092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-11699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171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119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1489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-22507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-2667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-780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2365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-3767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11409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10504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4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-16876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-47030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5991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-7088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-981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4885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-33359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-7513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-1286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14237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-16861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95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287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3486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2026-09-25T06:13:57Z</dcterms:modified>
  <cp:lastModifiedBy>Ankit Gupta</cp:lastModifiedBy>
</cp:coreProperties>
</file>