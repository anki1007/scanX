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Wide'!$AX$11</f>
            </numRef>
          </val>
        </ser>
        <ser>
          <idx val="49"/>
          <order val="49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Wide'!$AX$14</f>
            </numRef>
          </val>
        </ser>
        <ser>
          <idx val="99"/>
          <order val="9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Wide'!$AX$17</f>
            </numRef>
          </val>
        </ser>
        <ser>
          <idx val="149"/>
          <order val="149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</f>
            </numRef>
          </val>
        </ser>
        <ser>
          <idx val="199"/>
          <order val="19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Wide'!$AX$10</f>
            </numRef>
          </val>
        </ser>
        <ser>
          <idx val="249"/>
          <order val="24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Wide'!$AX$8</f>
            </numRef>
          </val>
        </ser>
        <ser>
          <idx val="299"/>
          <order val="29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Wide'!$AX$22</f>
            </numRef>
          </val>
        </ser>
        <ser>
          <idx val="349"/>
          <order val="349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Wide'!$B$13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Wide'!$C$13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Wide'!$D$13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Wide'!$E$13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Wide'!$F$13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Wide'!$G$13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Wide'!$H$13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Wide'!$I$13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Wide'!$J$13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Wide'!$K$13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Wide'!$L$13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Wide'!$M$13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Wide'!$N$13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Wide'!$O$13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Wide'!$P$13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Wide'!$Q$13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Wide'!$R$13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Wide'!$S$13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Wide'!$T$13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Wide'!$U$13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Wide'!$V$13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Wide'!$W$13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Wide'!$X$13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Wide'!$Y$13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Wide'!$Z$13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Wide'!$AA$13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Wide'!$AB$13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Wide'!$AC$13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Wide'!$AD$13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Wide'!$AE$13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Wide'!$AF$13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Wide'!$AG$13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Wide'!$AH$13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Wide'!$AI$13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Wide'!$AJ$13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Wide'!$AK$13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Wide'!$AL$13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Wide'!$AM$13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Wide'!$AN$13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Wide'!$AO$13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Wide'!$AP$13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Wide'!$AQ$13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Wide'!$AR$13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Wide'!$AS$13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Wide'!$AT$13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Wide'!$AU$13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Wide'!$AV$13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Wide'!$AW$13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Wide'!$AX$13</f>
            </numRef>
          </val>
        </ser>
        <ser>
          <idx val="399"/>
          <order val="39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Wide'!$B$1:$AY$1</f>
            </numRef>
          </cat>
          <val>
            <numRef>
              <f>'Sectors Wide'!$AY$13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Z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52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8" t="inlineStr">
        <is>
          <t>Sector Trend</t>
        </is>
      </c>
      <c r="BA1" s="11" t="inlineStr">
        <is>
          <t>30 Days
Flow</t>
        </is>
      </c>
      <c r="BB1" s="11" t="inlineStr">
        <is>
          <t>45 Days
Flow</t>
        </is>
      </c>
      <c r="BC1" s="11" t="inlineStr">
        <is>
          <t>60 Days
Flow</t>
        </is>
      </c>
      <c r="BD1" s="11" t="inlineStr">
        <is>
          <t>75 Days
Flow</t>
        </is>
      </c>
      <c r="BE1" s="11" t="inlineStr">
        <is>
          <t>90 Days
Flow</t>
        </is>
      </c>
      <c r="BF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/>
      <c r="BA2" s="38">
        <f>SUM(Table22[[#This Row],[Net Investment
April 16-30, 2026]:[Net Investment
May 01-15, 2026]])</f>
        <v/>
      </c>
      <c r="BB2" s="38">
        <f>SUM(Table22[[#This Row],[Net Investment
April 01-15, 2026]:[Net Investment
May 01-15, 2026]])</f>
        <v/>
      </c>
      <c r="BC2" s="38">
        <f>SUM(Table22[[#This Row],[Net Investment
March 16-31, 2026]:[Net Investment
May 01-15, 2026]])</f>
        <v/>
      </c>
      <c r="BD2" s="38">
        <f>SUM(Table22[[#This Row],[Net Investment
March 01-15, 2026]:[Net Investment
May 01-15, 2026]])</f>
        <v/>
      </c>
      <c r="BE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BA3" s="38">
        <f>SUM(Table22[[#This Row],[Net Investment
April 16-30, 2026]:[Net Investment
May 01-15, 2026]])</f>
        <v/>
      </c>
      <c r="BB3" s="38">
        <f>SUM(Table22[[#This Row],[Net Investment
April 01-15, 2026]:[Net Investment
May 01-15, 2026]])</f>
        <v/>
      </c>
      <c r="BC3" s="38">
        <f>SUM(Table22[[#This Row],[Net Investment
March 16-31, 2026]:[Net Investment
May 01-15, 2026]])</f>
        <v/>
      </c>
      <c r="BD3" s="38">
        <f>SUM(Table22[[#This Row],[Net Investment
March 01-15, 2026]:[Net Investment
May 01-15, 2026]])</f>
        <v/>
      </c>
      <c r="BE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BA4" s="38">
        <f>SUM(Table22[[#This Row],[Net Investment
April 16-30, 2026]:[Net Investment
May 01-15, 2026]])</f>
        <v/>
      </c>
      <c r="BB4" s="38">
        <f>SUM(Table22[[#This Row],[Net Investment
April 01-15, 2026]:[Net Investment
May 01-15, 2026]])</f>
        <v/>
      </c>
      <c r="BC4" s="38">
        <f>SUM(Table22[[#This Row],[Net Investment
March 16-31, 2026]:[Net Investment
May 01-15, 2026]])</f>
        <v/>
      </c>
      <c r="BD4" s="38">
        <f>SUM(Table22[[#This Row],[Net Investment
March 01-15, 2026]:[Net Investment
May 01-15, 2026]])</f>
        <v/>
      </c>
      <c r="BE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BA5" s="38">
        <f>SUM(Table22[[#This Row],[Net Investment
April 16-30, 2026]:[Net Investment
May 01-15, 2026]])</f>
        <v/>
      </c>
      <c r="BB5" s="38">
        <f>SUM(Table22[[#This Row],[Net Investment
April 01-15, 2026]:[Net Investment
May 01-15, 2026]])</f>
        <v/>
      </c>
      <c r="BC5" s="38">
        <f>SUM(Table22[[#This Row],[Net Investment
March 16-31, 2026]:[Net Investment
May 01-15, 2026]])</f>
        <v/>
      </c>
      <c r="BD5" s="38">
        <f>SUM(Table22[[#This Row],[Net Investment
March 01-15, 2026]:[Net Investment
May 01-15, 2026]])</f>
        <v/>
      </c>
      <c r="BE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BA6" s="38">
        <f>SUM(Table22[[#This Row],[Net Investment
April 16-30, 2026]:[Net Investment
May 01-15, 2026]])</f>
        <v/>
      </c>
      <c r="BB6" s="38">
        <f>SUM(Table22[[#This Row],[Net Investment
April 01-15, 2026]:[Net Investment
May 01-15, 2026]])</f>
        <v/>
      </c>
      <c r="BC6" s="38">
        <f>SUM(Table22[[#This Row],[Net Investment
March 16-31, 2026]:[Net Investment
May 01-15, 2026]])</f>
        <v/>
      </c>
      <c r="BD6" s="38">
        <f>SUM(Table22[[#This Row],[Net Investment
March 01-15, 2026]:[Net Investment
May 01-15, 2026]])</f>
        <v/>
      </c>
      <c r="BE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BA7" s="38">
        <f>SUM(Table22[[#This Row],[Net Investment
April 16-30, 2026]:[Net Investment
May 01-15, 2026]])</f>
        <v/>
      </c>
      <c r="BB7" s="38">
        <f>SUM(Table22[[#This Row],[Net Investment
April 01-15, 2026]:[Net Investment
May 01-15, 2026]])</f>
        <v/>
      </c>
      <c r="BC7" s="38">
        <f>SUM(Table22[[#This Row],[Net Investment
March 16-31, 2026]:[Net Investment
May 01-15, 2026]])</f>
        <v/>
      </c>
      <c r="BD7" s="38">
        <f>SUM(Table22[[#This Row],[Net Investment
March 01-15, 2026]:[Net Investment
May 01-15, 2026]])</f>
        <v/>
      </c>
      <c r="BE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BA8" s="38">
        <f>SUM(Table22[[#This Row],[Net Investment
April 16-30, 2026]:[Net Investment
May 01-15, 2026]])</f>
        <v/>
      </c>
      <c r="BB8" s="38">
        <f>SUM(Table22[[#This Row],[Net Investment
April 01-15, 2026]:[Net Investment
May 01-15, 2026]])</f>
        <v/>
      </c>
      <c r="BC8" s="38">
        <f>SUM(Table22[[#This Row],[Net Investment
March 16-31, 2026]:[Net Investment
May 01-15, 2026]])</f>
        <v/>
      </c>
      <c r="BD8" s="38">
        <f>SUM(Table22[[#This Row],[Net Investment
March 01-15, 2026]:[Net Investment
May 01-15, 2026]])</f>
        <v/>
      </c>
      <c r="BE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BA9" s="38">
        <f>SUM(Table22[[#This Row],[Net Investment
April 16-30, 2026]:[Net Investment
May 01-15, 2026]])</f>
        <v/>
      </c>
      <c r="BB9" s="38">
        <f>SUM(Table22[[#This Row],[Net Investment
April 01-15, 2026]:[Net Investment
May 01-15, 2026]])</f>
        <v/>
      </c>
      <c r="BC9" s="38">
        <f>SUM(Table22[[#This Row],[Net Investment
March 16-31, 2026]:[Net Investment
May 01-15, 2026]])</f>
        <v/>
      </c>
      <c r="BD9" s="38">
        <f>SUM(Table22[[#This Row],[Net Investment
March 01-15, 2026]:[Net Investment
May 01-15, 2026]])</f>
        <v/>
      </c>
      <c r="BE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BA10" s="38">
        <f>SUM(Table22[[#This Row],[Net Investment
April 16-30, 2026]:[Net Investment
May 01-15, 2026]])</f>
        <v/>
      </c>
      <c r="BB10" s="38">
        <f>SUM(Table22[[#This Row],[Net Investment
April 01-15, 2026]:[Net Investment
May 01-15, 2026]])</f>
        <v/>
      </c>
      <c r="BC10" s="38">
        <f>SUM(Table22[[#This Row],[Net Investment
March 16-31, 2026]:[Net Investment
May 01-15, 2026]])</f>
        <v/>
      </c>
      <c r="BD10" s="38">
        <f>SUM(Table22[[#This Row],[Net Investment
March 01-15, 2026]:[Net Investment
May 01-15, 2026]])</f>
        <v/>
      </c>
      <c r="BE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BA11" s="38">
        <f>SUM(Table22[[#This Row],[Net Investment
April 16-30, 2026]:[Net Investment
May 01-15, 2026]])</f>
        <v/>
      </c>
      <c r="BB11" s="38">
        <f>SUM(Table22[[#This Row],[Net Investment
April 01-15, 2026]:[Net Investment
May 01-15, 2026]])</f>
        <v/>
      </c>
      <c r="BC11" s="38">
        <f>SUM(Table22[[#This Row],[Net Investment
March 16-31, 2026]:[Net Investment
May 01-15, 2026]])</f>
        <v/>
      </c>
      <c r="BD11" s="38">
        <f>SUM(Table22[[#This Row],[Net Investment
March 01-15, 2026]:[Net Investment
May 01-15, 2026]])</f>
        <v/>
      </c>
      <c r="BE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BA12" s="38">
        <f>SUM(Table22[[#This Row],[Net Investment
April 16-30, 2026]:[Net Investment
May 01-15, 2026]])</f>
        <v/>
      </c>
      <c r="BB12" s="38">
        <f>SUM(Table22[[#This Row],[Net Investment
April 01-15, 2026]:[Net Investment
May 01-15, 2026]])</f>
        <v/>
      </c>
      <c r="BC12" s="38">
        <f>SUM(Table22[[#This Row],[Net Investment
March 16-31, 2026]:[Net Investment
May 01-15, 2026]])</f>
        <v/>
      </c>
      <c r="BD12" s="38">
        <f>SUM(Table22[[#This Row],[Net Investment
March 01-15, 2026]:[Net Investment
May 01-15, 2026]])</f>
        <v/>
      </c>
      <c r="BE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BA13" s="38">
        <f>SUM(Table22[[#This Row],[Net Investment
April 16-30, 2026]:[Net Investment
May 01-15, 2026]])</f>
        <v/>
      </c>
      <c r="BB13" s="38">
        <f>SUM(Table22[[#This Row],[Net Investment
April 01-15, 2026]:[Net Investment
May 01-15, 2026]])</f>
        <v/>
      </c>
      <c r="BC13" s="38">
        <f>SUM(Table22[[#This Row],[Net Investment
March 16-31, 2026]:[Net Investment
May 01-15, 2026]])</f>
        <v/>
      </c>
      <c r="BD13" s="38">
        <f>SUM(Table22[[#This Row],[Net Investment
March 01-15, 2026]:[Net Investment
May 01-15, 2026]])</f>
        <v/>
      </c>
      <c r="BE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BA14" s="38">
        <f>SUM(Table22[[#This Row],[Net Investment
April 16-30, 2026]:[Net Investment
May 01-15, 2026]])</f>
        <v/>
      </c>
      <c r="BB14" s="38">
        <f>SUM(Table22[[#This Row],[Net Investment
April 01-15, 2026]:[Net Investment
May 01-15, 2026]])</f>
        <v/>
      </c>
      <c r="BC14" s="38">
        <f>SUM(Table22[[#This Row],[Net Investment
March 16-31, 2026]:[Net Investment
May 01-15, 2026]])</f>
        <v/>
      </c>
      <c r="BD14" s="38">
        <f>SUM(Table22[[#This Row],[Net Investment
March 01-15, 2026]:[Net Investment
May 01-15, 2026]])</f>
        <v/>
      </c>
      <c r="BE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BA15" s="38">
        <f>SUM(Table22[[#This Row],[Net Investment
April 16-30, 2026]:[Net Investment
May 01-15, 2026]])</f>
        <v/>
      </c>
      <c r="BB15" s="38">
        <f>SUM(Table22[[#This Row],[Net Investment
April 01-15, 2026]:[Net Investment
May 01-15, 2026]])</f>
        <v/>
      </c>
      <c r="BC15" s="38">
        <f>SUM(Table22[[#This Row],[Net Investment
March 16-31, 2026]:[Net Investment
May 01-15, 2026]])</f>
        <v/>
      </c>
      <c r="BD15" s="38">
        <f>SUM(Table22[[#This Row],[Net Investment
March 01-15, 2026]:[Net Investment
May 01-15, 2026]])</f>
        <v/>
      </c>
      <c r="BE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BA16" s="38">
        <f>SUM(Table22[[#This Row],[Net Investment
April 16-30, 2026]:[Net Investment
May 01-15, 2026]])</f>
        <v/>
      </c>
      <c r="BB16" s="38">
        <f>SUM(Table22[[#This Row],[Net Investment
April 01-15, 2026]:[Net Investment
May 01-15, 2026]])</f>
        <v/>
      </c>
      <c r="BC16" s="38">
        <f>SUM(Table22[[#This Row],[Net Investment
March 16-31, 2026]:[Net Investment
May 01-15, 2026]])</f>
        <v/>
      </c>
      <c r="BD16" s="38">
        <f>SUM(Table22[[#This Row],[Net Investment
March 01-15, 2026]:[Net Investment
May 01-15, 2026]])</f>
        <v/>
      </c>
      <c r="BE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BA17" s="38">
        <f>SUM(Table22[[#This Row],[Net Investment
April 16-30, 2026]:[Net Investment
May 01-15, 2026]])</f>
        <v/>
      </c>
      <c r="BB17" s="38">
        <f>SUM(Table22[[#This Row],[Net Investment
April 01-15, 2026]:[Net Investment
May 01-15, 2026]])</f>
        <v/>
      </c>
      <c r="BC17" s="38">
        <f>SUM(Table22[[#This Row],[Net Investment
March 16-31, 2026]:[Net Investment
May 01-15, 2026]])</f>
        <v/>
      </c>
      <c r="BD17" s="38">
        <f>SUM(Table22[[#This Row],[Net Investment
March 01-15, 2026]:[Net Investment
May 01-15, 2026]])</f>
        <v/>
      </c>
      <c r="BE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BA18" s="38">
        <f>SUM(Table22[[#This Row],[Net Investment
April 16-30, 2026]:[Net Investment
May 01-15, 2026]])</f>
        <v/>
      </c>
      <c r="BB18" s="38">
        <f>SUM(Table22[[#This Row],[Net Investment
April 01-15, 2026]:[Net Investment
May 01-15, 2026]])</f>
        <v/>
      </c>
      <c r="BC18" s="38">
        <f>SUM(Table22[[#This Row],[Net Investment
March 16-31, 2026]:[Net Investment
May 01-15, 2026]])</f>
        <v/>
      </c>
      <c r="BD18" s="38">
        <f>SUM(Table22[[#This Row],[Net Investment
March 01-15, 2026]:[Net Investment
May 01-15, 2026]])</f>
        <v/>
      </c>
      <c r="BE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BA19" s="38">
        <f>SUM(Table22[[#This Row],[Net Investment
April 16-30, 2026]:[Net Investment
May 01-15, 2026]])</f>
        <v/>
      </c>
      <c r="BB19" s="38">
        <f>SUM(Table22[[#This Row],[Net Investment
April 01-15, 2026]:[Net Investment
May 01-15, 2026]])</f>
        <v/>
      </c>
      <c r="BC19" s="38">
        <f>SUM(Table22[[#This Row],[Net Investment
March 16-31, 2026]:[Net Investment
May 01-15, 2026]])</f>
        <v/>
      </c>
      <c r="BD19" s="38">
        <f>SUM(Table22[[#This Row],[Net Investment
March 01-15, 2026]:[Net Investment
May 01-15, 2026]])</f>
        <v/>
      </c>
      <c r="BE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BA20" s="38">
        <f>SUM(Table22[[#This Row],[Net Investment
April 16-30, 2026]:[Net Investment
May 01-15, 2026]])</f>
        <v/>
      </c>
      <c r="BB20" s="38">
        <f>SUM(Table22[[#This Row],[Net Investment
April 01-15, 2026]:[Net Investment
May 01-15, 2026]])</f>
        <v/>
      </c>
      <c r="BC20" s="38">
        <f>SUM(Table22[[#This Row],[Net Investment
March 16-31, 2026]:[Net Investment
May 01-15, 2026]])</f>
        <v/>
      </c>
      <c r="BD20" s="38">
        <f>SUM(Table22[[#This Row],[Net Investment
March 01-15, 2026]:[Net Investment
May 01-15, 2026]])</f>
        <v/>
      </c>
      <c r="BE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BA21" s="38">
        <f>SUM(Table22[[#This Row],[Net Investment
April 16-30, 2026]:[Net Investment
May 01-15, 2026]])</f>
        <v/>
      </c>
      <c r="BB21" s="38">
        <f>SUM(Table22[[#This Row],[Net Investment
April 01-15, 2026]:[Net Investment
May 01-15, 2026]])</f>
        <v/>
      </c>
      <c r="BC21" s="38">
        <f>SUM(Table22[[#This Row],[Net Investment
March 16-31, 2026]:[Net Investment
May 01-15, 2026]])</f>
        <v/>
      </c>
      <c r="BD21" s="38">
        <f>SUM(Table22[[#This Row],[Net Investment
March 01-15, 2026]:[Net Investment
May 01-15, 2026]])</f>
        <v/>
      </c>
      <c r="BE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BA22" s="38">
        <f>SUM(Table22[[#This Row],[Net Investment
April 16-30, 2026]:[Net Investment
May 01-15, 2026]])</f>
        <v/>
      </c>
      <c r="BB22" s="38">
        <f>SUM(Table22[[#This Row],[Net Investment
April 01-15, 2026]:[Net Investment
May 01-15, 2026]])</f>
        <v/>
      </c>
      <c r="BC22" s="38">
        <f>SUM(Table22[[#This Row],[Net Investment
March 16-31, 2026]:[Net Investment
May 01-15, 2026]])</f>
        <v/>
      </c>
      <c r="BD22" s="38">
        <f>SUM(Table22[[#This Row],[Net Investment
March 01-15, 2026]:[Net Investment
May 01-15, 2026]])</f>
        <v/>
      </c>
      <c r="BE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BA23" s="38">
        <f>SUM(Table22[[#This Row],[Net Investment
April 16-30, 2026]:[Net Investment
May 01-15, 2026]])</f>
        <v/>
      </c>
      <c r="BB23" s="38">
        <f>SUM(Table22[[#This Row],[Net Investment
April 01-15, 2026]:[Net Investment
May 01-15, 2026]])</f>
        <v/>
      </c>
      <c r="BC23" s="38">
        <f>SUM(Table22[[#This Row],[Net Investment
March 16-31, 2026]:[Net Investment
May 01-15, 2026]])</f>
        <v/>
      </c>
      <c r="BD23" s="38">
        <f>SUM(Table22[[#This Row],[Net Investment
March 01-15, 2026]:[Net Investment
May 01-15, 2026]])</f>
        <v/>
      </c>
      <c r="BE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BA24" s="38">
        <f>SUM(Table22[[#This Row],[Net Investment
April 16-30, 2026]:[Net Investment
May 01-15, 2026]])</f>
        <v/>
      </c>
      <c r="BB24" s="38">
        <f>SUM(Table22[[#This Row],[Net Investment
April 01-15, 2026]:[Net Investment
May 01-15, 2026]])</f>
        <v/>
      </c>
      <c r="BC24" s="38">
        <f>SUM(Table22[[#This Row],[Net Investment
March 16-31, 2026]:[Net Investment
May 01-15, 2026]])</f>
        <v/>
      </c>
      <c r="BD24" s="38">
        <f>SUM(Table22[[#This Row],[Net Investment
March 01-15, 2026]:[Net Investment
May 01-15, 2026]])</f>
        <v/>
      </c>
      <c r="BE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BA25" s="38">
        <f>SUM(Table22[[#This Row],[Net Investment
April 16-30, 2026]:[Net Investment
May 01-15, 2026]])</f>
        <v/>
      </c>
      <c r="BB25" s="38">
        <f>SUM(Table22[[#This Row],[Net Investment
April 01-15, 2026]:[Net Investment
May 01-15, 2026]])</f>
        <v/>
      </c>
      <c r="BC25" s="38">
        <f>SUM(Table22[[#This Row],[Net Investment
March 16-31, 2026]:[Net Investment
May 01-15, 2026]])</f>
        <v/>
      </c>
      <c r="BD25" s="38">
        <f>SUM(Table22[[#This Row],[Net Investment
March 01-15, 2026]:[Net Investment
May 01-15, 2026]])</f>
        <v/>
      </c>
      <c r="BE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A26" s="38">
        <f>SUM(Table22[[#This Row],[Net Investment
April 16-30, 2026]:[Net Investment
May 01-15, 2026]])</f>
        <v/>
      </c>
      <c r="BB26" s="38">
        <f>SUM(Table22[[#This Row],[Net Investment
April 01-15, 2026]:[Net Investment
May 01-15, 2026]])</f>
        <v/>
      </c>
      <c r="BC26" s="38">
        <f>SUM(Table22[[#This Row],[Net Investment
March 16-31, 2026]:[Net Investment
May 01-15, 2026]])</f>
        <v/>
      </c>
      <c r="BD26" s="38">
        <f>SUM(Table22[[#This Row],[Net Investment
March 01-15, 2026]:[Net Investment
May 01-15, 2026]])</f>
        <v/>
      </c>
      <c r="BE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9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</row>
  </sheetData>
  <conditionalFormatting sqref="B2:A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-4564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-6275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418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-1199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2445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7342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10201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-628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-694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29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7755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3358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-265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4937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-255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-2863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1793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-5725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454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-44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1550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-22943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-3165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-1866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1397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-3543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7903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1665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-12931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-51320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19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-2054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-10231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-954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3759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-29213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-4307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70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11549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-10887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378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124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3547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2026-08-12T13:51:25Z</dcterms:modified>
  <cp:lastModifiedBy>Ankit Gupta</cp:lastModifiedBy>
</cp:coreProperties>
</file>