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Wide'!$AT$11</f>
            </numRef>
          </val>
        </ser>
        <ser>
          <idx val="45"/>
          <order val="45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Wide'!$AT$14</f>
            </numRef>
          </val>
        </ser>
        <ser>
          <idx val="91"/>
          <order val="9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Wide'!$B$17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Wide'!$C$17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Wide'!$AT$17</f>
            </numRef>
          </val>
        </ser>
        <ser>
          <idx val="137"/>
          <order val="137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Wide'!$B$10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Wide'!$C$10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Wide'!$D$10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Wide'!$AT$10</f>
            </numRef>
          </val>
        </ser>
        <ser>
          <idx val="183"/>
          <order val="183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Wide'!$AT$22</f>
            </numRef>
          </val>
        </ser>
        <ser>
          <idx val="229"/>
          <order val="22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</f>
            </numRef>
          </val>
        </ser>
        <ser>
          <idx val="275"/>
          <order val="27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Wide'!$AT$8</f>
            </numRef>
          </val>
        </ser>
        <ser>
          <idx val="321"/>
          <order val="32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Wide'!$B$3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Wide'!$C$3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Wide'!$D$3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Wide'!$E$3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Wide'!$F$3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Wide'!$G$3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Wide'!$H$3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Wide'!$AT$3</f>
            </numRef>
          </val>
        </ser>
        <ser>
          <idx val="367"/>
          <order val="367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V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48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25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8" t="inlineStr">
        <is>
          <t>Sector Trend</t>
        </is>
      </c>
      <c r="AW1" s="11" t="inlineStr">
        <is>
          <t>30 Days
Flow</t>
        </is>
      </c>
      <c r="AX1" s="11" t="inlineStr">
        <is>
          <t>45 Days
Flow</t>
        </is>
      </c>
      <c r="AY1" s="11" t="inlineStr">
        <is>
          <t>60 Days
Flow</t>
        </is>
      </c>
      <c r="AZ1" s="11" t="inlineStr">
        <is>
          <t>75 Days
Flow</t>
        </is>
      </c>
      <c r="BA1" s="11" t="inlineStr">
        <is>
          <t>90 Days
Flow</t>
        </is>
      </c>
      <c r="BB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/>
      <c r="AW2" s="38">
        <f>SUM(Table22[[#This Row],[Net Investment
April 16-30, 2026]:[Net Investment
May 01-15, 2026]])</f>
        <v/>
      </c>
      <c r="AX2" s="38">
        <f>SUM(Table22[[#This Row],[Net Investment
April 01-15, 2026]:[Net Investment
May 01-15, 2026]])</f>
        <v/>
      </c>
      <c r="AY2" s="38">
        <f>SUM(Table22[[#This Row],[Net Investment
March 16-31, 2026]:[Net Investment
May 01-15, 2026]])</f>
        <v/>
      </c>
      <c r="AZ2" s="38">
        <f>SUM(Table22[[#This Row],[Net Investment
March 01-15, 2026]:[Net Investment
May 01-15, 2026]])</f>
        <v/>
      </c>
      <c r="BA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W3" s="38">
        <f>SUM(Table22[[#This Row],[Net Investment
April 16-30, 2026]:[Net Investment
May 01-15, 2026]])</f>
        <v/>
      </c>
      <c r="AX3" s="38">
        <f>SUM(Table22[[#This Row],[Net Investment
April 01-15, 2026]:[Net Investment
May 01-15, 2026]])</f>
        <v/>
      </c>
      <c r="AY3" s="38">
        <f>SUM(Table22[[#This Row],[Net Investment
March 16-31, 2026]:[Net Investment
May 01-15, 2026]])</f>
        <v/>
      </c>
      <c r="AZ3" s="38">
        <f>SUM(Table22[[#This Row],[Net Investment
March 01-15, 2026]:[Net Investment
May 01-15, 2026]])</f>
        <v/>
      </c>
      <c r="BA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W4" s="38">
        <f>SUM(Table22[[#This Row],[Net Investment
April 16-30, 2026]:[Net Investment
May 01-15, 2026]])</f>
        <v/>
      </c>
      <c r="AX4" s="38">
        <f>SUM(Table22[[#This Row],[Net Investment
April 01-15, 2026]:[Net Investment
May 01-15, 2026]])</f>
        <v/>
      </c>
      <c r="AY4" s="38">
        <f>SUM(Table22[[#This Row],[Net Investment
March 16-31, 2026]:[Net Investment
May 01-15, 2026]])</f>
        <v/>
      </c>
      <c r="AZ4" s="38">
        <f>SUM(Table22[[#This Row],[Net Investment
March 01-15, 2026]:[Net Investment
May 01-15, 2026]])</f>
        <v/>
      </c>
      <c r="BA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W5" s="38">
        <f>SUM(Table22[[#This Row],[Net Investment
April 16-30, 2026]:[Net Investment
May 01-15, 2026]])</f>
        <v/>
      </c>
      <c r="AX5" s="38">
        <f>SUM(Table22[[#This Row],[Net Investment
April 01-15, 2026]:[Net Investment
May 01-15, 2026]])</f>
        <v/>
      </c>
      <c r="AY5" s="38">
        <f>SUM(Table22[[#This Row],[Net Investment
March 16-31, 2026]:[Net Investment
May 01-15, 2026]])</f>
        <v/>
      </c>
      <c r="AZ5" s="38">
        <f>SUM(Table22[[#This Row],[Net Investment
March 01-15, 2026]:[Net Investment
May 01-15, 2026]])</f>
        <v/>
      </c>
      <c r="BA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W6" s="38">
        <f>SUM(Table22[[#This Row],[Net Investment
April 16-30, 2026]:[Net Investment
May 01-15, 2026]])</f>
        <v/>
      </c>
      <c r="AX6" s="38">
        <f>SUM(Table22[[#This Row],[Net Investment
April 01-15, 2026]:[Net Investment
May 01-15, 2026]])</f>
        <v/>
      </c>
      <c r="AY6" s="38">
        <f>SUM(Table22[[#This Row],[Net Investment
March 16-31, 2026]:[Net Investment
May 01-15, 2026]])</f>
        <v/>
      </c>
      <c r="AZ6" s="38">
        <f>SUM(Table22[[#This Row],[Net Investment
March 01-15, 2026]:[Net Investment
May 01-15, 2026]])</f>
        <v/>
      </c>
      <c r="BA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W7" s="38">
        <f>SUM(Table22[[#This Row],[Net Investment
April 16-30, 2026]:[Net Investment
May 01-15, 2026]])</f>
        <v/>
      </c>
      <c r="AX7" s="38">
        <f>SUM(Table22[[#This Row],[Net Investment
April 01-15, 2026]:[Net Investment
May 01-15, 2026]])</f>
        <v/>
      </c>
      <c r="AY7" s="38">
        <f>SUM(Table22[[#This Row],[Net Investment
March 16-31, 2026]:[Net Investment
May 01-15, 2026]])</f>
        <v/>
      </c>
      <c r="AZ7" s="38">
        <f>SUM(Table22[[#This Row],[Net Investment
March 01-15, 2026]:[Net Investment
May 01-15, 2026]])</f>
        <v/>
      </c>
      <c r="BA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W8" s="38">
        <f>SUM(Table22[[#This Row],[Net Investment
April 16-30, 2026]:[Net Investment
May 01-15, 2026]])</f>
        <v/>
      </c>
      <c r="AX8" s="38">
        <f>SUM(Table22[[#This Row],[Net Investment
April 01-15, 2026]:[Net Investment
May 01-15, 2026]])</f>
        <v/>
      </c>
      <c r="AY8" s="38">
        <f>SUM(Table22[[#This Row],[Net Investment
March 16-31, 2026]:[Net Investment
May 01-15, 2026]])</f>
        <v/>
      </c>
      <c r="AZ8" s="38">
        <f>SUM(Table22[[#This Row],[Net Investment
March 01-15, 2026]:[Net Investment
May 01-15, 2026]])</f>
        <v/>
      </c>
      <c r="BA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W9" s="38">
        <f>SUM(Table22[[#This Row],[Net Investment
April 16-30, 2026]:[Net Investment
May 01-15, 2026]])</f>
        <v/>
      </c>
      <c r="AX9" s="38">
        <f>SUM(Table22[[#This Row],[Net Investment
April 01-15, 2026]:[Net Investment
May 01-15, 2026]])</f>
        <v/>
      </c>
      <c r="AY9" s="38">
        <f>SUM(Table22[[#This Row],[Net Investment
March 16-31, 2026]:[Net Investment
May 01-15, 2026]])</f>
        <v/>
      </c>
      <c r="AZ9" s="38">
        <f>SUM(Table22[[#This Row],[Net Investment
March 01-15, 2026]:[Net Investment
May 01-15, 2026]])</f>
        <v/>
      </c>
      <c r="BA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W10" s="38">
        <f>SUM(Table22[[#This Row],[Net Investment
April 16-30, 2026]:[Net Investment
May 01-15, 2026]])</f>
        <v/>
      </c>
      <c r="AX10" s="38">
        <f>SUM(Table22[[#This Row],[Net Investment
April 01-15, 2026]:[Net Investment
May 01-15, 2026]])</f>
        <v/>
      </c>
      <c r="AY10" s="38">
        <f>SUM(Table22[[#This Row],[Net Investment
March 16-31, 2026]:[Net Investment
May 01-15, 2026]])</f>
        <v/>
      </c>
      <c r="AZ10" s="38">
        <f>SUM(Table22[[#This Row],[Net Investment
March 01-15, 2026]:[Net Investment
May 01-15, 2026]])</f>
        <v/>
      </c>
      <c r="BA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W11" s="38">
        <f>SUM(Table22[[#This Row],[Net Investment
April 16-30, 2026]:[Net Investment
May 01-15, 2026]])</f>
        <v/>
      </c>
      <c r="AX11" s="38">
        <f>SUM(Table22[[#This Row],[Net Investment
April 01-15, 2026]:[Net Investment
May 01-15, 2026]])</f>
        <v/>
      </c>
      <c r="AY11" s="38">
        <f>SUM(Table22[[#This Row],[Net Investment
March 16-31, 2026]:[Net Investment
May 01-15, 2026]])</f>
        <v/>
      </c>
      <c r="AZ11" s="38">
        <f>SUM(Table22[[#This Row],[Net Investment
March 01-15, 2026]:[Net Investment
May 01-15, 2026]])</f>
        <v/>
      </c>
      <c r="BA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W12" s="38">
        <f>SUM(Table22[[#This Row],[Net Investment
April 16-30, 2026]:[Net Investment
May 01-15, 2026]])</f>
        <v/>
      </c>
      <c r="AX12" s="38">
        <f>SUM(Table22[[#This Row],[Net Investment
April 01-15, 2026]:[Net Investment
May 01-15, 2026]])</f>
        <v/>
      </c>
      <c r="AY12" s="38">
        <f>SUM(Table22[[#This Row],[Net Investment
March 16-31, 2026]:[Net Investment
May 01-15, 2026]])</f>
        <v/>
      </c>
      <c r="AZ12" s="38">
        <f>SUM(Table22[[#This Row],[Net Investment
March 01-15, 2026]:[Net Investment
May 01-15, 2026]])</f>
        <v/>
      </c>
      <c r="BA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W13" s="38">
        <f>SUM(Table22[[#This Row],[Net Investment
April 16-30, 2026]:[Net Investment
May 01-15, 2026]])</f>
        <v/>
      </c>
      <c r="AX13" s="38">
        <f>SUM(Table22[[#This Row],[Net Investment
April 01-15, 2026]:[Net Investment
May 01-15, 2026]])</f>
        <v/>
      </c>
      <c r="AY13" s="38">
        <f>SUM(Table22[[#This Row],[Net Investment
March 16-31, 2026]:[Net Investment
May 01-15, 2026]])</f>
        <v/>
      </c>
      <c r="AZ13" s="38">
        <f>SUM(Table22[[#This Row],[Net Investment
March 01-15, 2026]:[Net Investment
May 01-15, 2026]])</f>
        <v/>
      </c>
      <c r="BA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W14" s="38">
        <f>SUM(Table22[[#This Row],[Net Investment
April 16-30, 2026]:[Net Investment
May 01-15, 2026]])</f>
        <v/>
      </c>
      <c r="AX14" s="38">
        <f>SUM(Table22[[#This Row],[Net Investment
April 01-15, 2026]:[Net Investment
May 01-15, 2026]])</f>
        <v/>
      </c>
      <c r="AY14" s="38">
        <f>SUM(Table22[[#This Row],[Net Investment
March 16-31, 2026]:[Net Investment
May 01-15, 2026]])</f>
        <v/>
      </c>
      <c r="AZ14" s="38">
        <f>SUM(Table22[[#This Row],[Net Investment
March 01-15, 2026]:[Net Investment
May 01-15, 2026]])</f>
        <v/>
      </c>
      <c r="BA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W15" s="38">
        <f>SUM(Table22[[#This Row],[Net Investment
April 16-30, 2026]:[Net Investment
May 01-15, 2026]])</f>
        <v/>
      </c>
      <c r="AX15" s="38">
        <f>SUM(Table22[[#This Row],[Net Investment
April 01-15, 2026]:[Net Investment
May 01-15, 2026]])</f>
        <v/>
      </c>
      <c r="AY15" s="38">
        <f>SUM(Table22[[#This Row],[Net Investment
March 16-31, 2026]:[Net Investment
May 01-15, 2026]])</f>
        <v/>
      </c>
      <c r="AZ15" s="38">
        <f>SUM(Table22[[#This Row],[Net Investment
March 01-15, 2026]:[Net Investment
May 01-15, 2026]])</f>
        <v/>
      </c>
      <c r="BA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W16" s="38">
        <f>SUM(Table22[[#This Row],[Net Investment
April 16-30, 2026]:[Net Investment
May 01-15, 2026]])</f>
        <v/>
      </c>
      <c r="AX16" s="38">
        <f>SUM(Table22[[#This Row],[Net Investment
April 01-15, 2026]:[Net Investment
May 01-15, 2026]])</f>
        <v/>
      </c>
      <c r="AY16" s="38">
        <f>SUM(Table22[[#This Row],[Net Investment
March 16-31, 2026]:[Net Investment
May 01-15, 2026]])</f>
        <v/>
      </c>
      <c r="AZ16" s="38">
        <f>SUM(Table22[[#This Row],[Net Investment
March 01-15, 2026]:[Net Investment
May 01-15, 2026]])</f>
        <v/>
      </c>
      <c r="BA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W17" s="38">
        <f>SUM(Table22[[#This Row],[Net Investment
April 16-30, 2026]:[Net Investment
May 01-15, 2026]])</f>
        <v/>
      </c>
      <c r="AX17" s="38">
        <f>SUM(Table22[[#This Row],[Net Investment
April 01-15, 2026]:[Net Investment
May 01-15, 2026]])</f>
        <v/>
      </c>
      <c r="AY17" s="38">
        <f>SUM(Table22[[#This Row],[Net Investment
March 16-31, 2026]:[Net Investment
May 01-15, 2026]])</f>
        <v/>
      </c>
      <c r="AZ17" s="38">
        <f>SUM(Table22[[#This Row],[Net Investment
March 01-15, 2026]:[Net Investment
May 01-15, 2026]])</f>
        <v/>
      </c>
      <c r="BA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W18" s="38">
        <f>SUM(Table22[[#This Row],[Net Investment
April 16-30, 2026]:[Net Investment
May 01-15, 2026]])</f>
        <v/>
      </c>
      <c r="AX18" s="38">
        <f>SUM(Table22[[#This Row],[Net Investment
April 01-15, 2026]:[Net Investment
May 01-15, 2026]])</f>
        <v/>
      </c>
      <c r="AY18" s="38">
        <f>SUM(Table22[[#This Row],[Net Investment
March 16-31, 2026]:[Net Investment
May 01-15, 2026]])</f>
        <v/>
      </c>
      <c r="AZ18" s="38">
        <f>SUM(Table22[[#This Row],[Net Investment
March 01-15, 2026]:[Net Investment
May 01-15, 2026]])</f>
        <v/>
      </c>
      <c r="BA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W19" s="38">
        <f>SUM(Table22[[#This Row],[Net Investment
April 16-30, 2026]:[Net Investment
May 01-15, 2026]])</f>
        <v/>
      </c>
      <c r="AX19" s="38">
        <f>SUM(Table22[[#This Row],[Net Investment
April 01-15, 2026]:[Net Investment
May 01-15, 2026]])</f>
        <v/>
      </c>
      <c r="AY19" s="38">
        <f>SUM(Table22[[#This Row],[Net Investment
March 16-31, 2026]:[Net Investment
May 01-15, 2026]])</f>
        <v/>
      </c>
      <c r="AZ19" s="38">
        <f>SUM(Table22[[#This Row],[Net Investment
March 01-15, 2026]:[Net Investment
May 01-15, 2026]])</f>
        <v/>
      </c>
      <c r="BA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W20" s="38">
        <f>SUM(Table22[[#This Row],[Net Investment
April 16-30, 2026]:[Net Investment
May 01-15, 2026]])</f>
        <v/>
      </c>
      <c r="AX20" s="38">
        <f>SUM(Table22[[#This Row],[Net Investment
April 01-15, 2026]:[Net Investment
May 01-15, 2026]])</f>
        <v/>
      </c>
      <c r="AY20" s="38">
        <f>SUM(Table22[[#This Row],[Net Investment
March 16-31, 2026]:[Net Investment
May 01-15, 2026]])</f>
        <v/>
      </c>
      <c r="AZ20" s="38">
        <f>SUM(Table22[[#This Row],[Net Investment
March 01-15, 2026]:[Net Investment
May 01-15, 2026]])</f>
        <v/>
      </c>
      <c r="BA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W21" s="38">
        <f>SUM(Table22[[#This Row],[Net Investment
April 16-30, 2026]:[Net Investment
May 01-15, 2026]])</f>
        <v/>
      </c>
      <c r="AX21" s="38">
        <f>SUM(Table22[[#This Row],[Net Investment
April 01-15, 2026]:[Net Investment
May 01-15, 2026]])</f>
        <v/>
      </c>
      <c r="AY21" s="38">
        <f>SUM(Table22[[#This Row],[Net Investment
March 16-31, 2026]:[Net Investment
May 01-15, 2026]])</f>
        <v/>
      </c>
      <c r="AZ21" s="38">
        <f>SUM(Table22[[#This Row],[Net Investment
March 01-15, 2026]:[Net Investment
May 01-15, 2026]])</f>
        <v/>
      </c>
      <c r="BA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W22" s="38">
        <f>SUM(Table22[[#This Row],[Net Investment
April 16-30, 2026]:[Net Investment
May 01-15, 2026]])</f>
        <v/>
      </c>
      <c r="AX22" s="38">
        <f>SUM(Table22[[#This Row],[Net Investment
April 01-15, 2026]:[Net Investment
May 01-15, 2026]])</f>
        <v/>
      </c>
      <c r="AY22" s="38">
        <f>SUM(Table22[[#This Row],[Net Investment
March 16-31, 2026]:[Net Investment
May 01-15, 2026]])</f>
        <v/>
      </c>
      <c r="AZ22" s="38">
        <f>SUM(Table22[[#This Row],[Net Investment
March 01-15, 2026]:[Net Investment
May 01-15, 2026]])</f>
        <v/>
      </c>
      <c r="BA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W23" s="38">
        <f>SUM(Table22[[#This Row],[Net Investment
April 16-30, 2026]:[Net Investment
May 01-15, 2026]])</f>
        <v/>
      </c>
      <c r="AX23" s="38">
        <f>SUM(Table22[[#This Row],[Net Investment
April 01-15, 2026]:[Net Investment
May 01-15, 2026]])</f>
        <v/>
      </c>
      <c r="AY23" s="38">
        <f>SUM(Table22[[#This Row],[Net Investment
March 16-31, 2026]:[Net Investment
May 01-15, 2026]])</f>
        <v/>
      </c>
      <c r="AZ23" s="38">
        <f>SUM(Table22[[#This Row],[Net Investment
March 01-15, 2026]:[Net Investment
May 01-15, 2026]])</f>
        <v/>
      </c>
      <c r="BA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W24" s="38">
        <f>SUM(Table22[[#This Row],[Net Investment
April 16-30, 2026]:[Net Investment
May 01-15, 2026]])</f>
        <v/>
      </c>
      <c r="AX24" s="38">
        <f>SUM(Table22[[#This Row],[Net Investment
April 01-15, 2026]:[Net Investment
May 01-15, 2026]])</f>
        <v/>
      </c>
      <c r="AY24" s="38">
        <f>SUM(Table22[[#This Row],[Net Investment
March 16-31, 2026]:[Net Investment
May 01-15, 2026]])</f>
        <v/>
      </c>
      <c r="AZ24" s="38">
        <f>SUM(Table22[[#This Row],[Net Investment
March 01-15, 2026]:[Net Investment
May 01-15, 2026]])</f>
        <v/>
      </c>
      <c r="BA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W25" s="38">
        <f>SUM(Table22[[#This Row],[Net Investment
April 16-30, 2026]:[Net Investment
May 01-15, 2026]])</f>
        <v/>
      </c>
      <c r="AX25" s="38">
        <f>SUM(Table22[[#This Row],[Net Investment
April 01-15, 2026]:[Net Investment
May 01-15, 2026]])</f>
        <v/>
      </c>
      <c r="AY25" s="38">
        <f>SUM(Table22[[#This Row],[Net Investment
March 16-31, 2026]:[Net Investment
May 01-15, 2026]])</f>
        <v/>
      </c>
      <c r="AZ25" s="38">
        <f>SUM(Table22[[#This Row],[Net Investment
March 01-15, 2026]:[Net Investment
May 01-15, 2026]])</f>
        <v/>
      </c>
      <c r="BA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W26" s="38">
        <f>SUM(Table22[[#This Row],[Net Investment
April 16-30, 2026]:[Net Investment
May 01-15, 2026]])</f>
        <v/>
      </c>
      <c r="AX26" s="38">
        <f>SUM(Table22[[#This Row],[Net Investment
April 01-15, 2026]:[Net Investment
May 01-15, 2026]])</f>
        <v/>
      </c>
      <c r="AY26" s="38">
        <f>SUM(Table22[[#This Row],[Net Investment
March 16-31, 2026]:[Net Investment
May 01-15, 2026]])</f>
        <v/>
      </c>
      <c r="AZ26" s="38">
        <f>SUM(Table22[[#This Row],[Net Investment
March 01-15, 2026]:[Net Investment
May 01-15, 2026]])</f>
        <v/>
      </c>
      <c r="BA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</row>
  </sheetData>
  <conditionalFormatting sqref="B2:AU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</row>
  </sheetData>
  <conditionalFormatting sqref="B2: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-8011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7138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-997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-285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-2912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-1369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-9765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-6766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-53997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14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-6743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-6123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-330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7915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-15681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4876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-2523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-4815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-55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-8011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7138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-997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-285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-2912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-1369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-9765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-6766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-53997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-6743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-6123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-330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7915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-15681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4876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-2523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-4815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-171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-55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2026-06-14T11:56:53Z</dcterms:modified>
  <cp:lastModifiedBy>Ankit Gupta</cp:lastModifiedBy>
</cp:coreProperties>
</file>