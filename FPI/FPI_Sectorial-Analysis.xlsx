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2" autoFilterDateGrouping="1"/>
  </bookViews>
  <sheets>
    <sheet xmlns:r="http://schemas.openxmlformats.org/officeDocument/2006/relationships" name="Query" sheetId="1" state="visible" r:id="rId1"/>
    <sheet xmlns:r="http://schemas.openxmlformats.org/officeDocument/2006/relationships" name="Final Data FY 24-25" sheetId="2" state="visible" r:id="rId2"/>
    <sheet xmlns:r="http://schemas.openxmlformats.org/officeDocument/2006/relationships" name="FPIs Fortnightly Investments" sheetId="3" state="visible" r:id="rId3"/>
    <sheet xmlns:r="http://schemas.openxmlformats.org/officeDocument/2006/relationships" name="Auto Data" sheetId="4" state="visible" r:id="rId4"/>
    <sheet xmlns:r="http://schemas.openxmlformats.org/officeDocument/2006/relationships" name="Sectors Wide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Quarterly" sheetId="7" state="visible" r:id="rId7"/>
    <sheet xmlns:r="http://schemas.openxmlformats.org/officeDocument/2006/relationships" name="Yearly (FY)" sheetId="8" state="visible" r:id="rId8"/>
  </sheets>
  <definedNames>
    <definedName name="ExternalData_1" localSheetId="0" hidden="1">Query!$A$1:$D$30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yyyy\-mm\-dd"/>
    <numFmt numFmtId="166" formatCode="yyyy-mm-dd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Constantia"/>
      <family val="1"/>
      <b val="1"/>
      <color theme="0"/>
      <sz val="16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Display"/>
      <family val="2"/>
      <color theme="0"/>
      <sz val="18"/>
      <scheme val="major"/>
    </font>
    <font>
      <name val="Aptos Display"/>
      <family val="2"/>
      <color theme="1"/>
      <sz val="18"/>
      <scheme val="major"/>
    </font>
    <font>
      <name val="Aptos Narrow"/>
      <b val="1"/>
      <color rgb="FFFFFFFF"/>
      <sz val="11"/>
    </font>
    <font>
      <name val="Aptos Narrow"/>
      <b val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5">
    <xf numFmtId="0" fontId="1" fillId="0" borderId="0"/>
    <xf numFmtId="43" fontId="1" fillId="0" borderId="0"/>
    <xf numFmtId="0" fontId="2" fillId="2" borderId="0"/>
    <xf numFmtId="0" fontId="2" fillId="3" borderId="0"/>
    <xf numFmtId="0" fontId="1" fillId="4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5" borderId="0" applyAlignment="1" pivotButton="0" quotePrefix="0" xfId="4">
      <alignment horizontal="center" vertical="center" wrapText="1"/>
    </xf>
    <xf numFmtId="0" fontId="3" fillId="6" borderId="0" applyAlignment="1" pivotButton="0" quotePrefix="0" xfId="3">
      <alignment horizontal="center" vertical="center" wrapText="1"/>
    </xf>
    <xf numFmtId="0" fontId="5" fillId="7" borderId="0" applyAlignment="1" pivotButton="0" quotePrefix="0" xfId="0">
      <alignment vertical="center"/>
    </xf>
    <xf numFmtId="0" fontId="6" fillId="2" borderId="0" applyAlignment="1" pivotButton="0" quotePrefix="0" xfId="2">
      <alignment horizontal="center" vertical="center" wrapText="1"/>
    </xf>
    <xf numFmtId="0" fontId="0" fillId="0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 wrapText="1"/>
    </xf>
    <xf numFmtId="0" fontId="0" fillId="8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8" borderId="1" pivotButton="0" quotePrefix="0" xfId="0"/>
    <xf numFmtId="164" fontId="1" fillId="0" borderId="0" applyAlignment="1" pivotButton="0" quotePrefix="0" xfId="1">
      <alignment vertical="center" wrapText="1"/>
    </xf>
    <xf numFmtId="164" fontId="1" fillId="0" borderId="0" applyAlignment="1" pivotButton="0" quotePrefix="0" xfId="1">
      <alignment horizontal="center" vertical="center" wrapText="1"/>
    </xf>
    <xf numFmtId="164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horizontal="center" vertical="center" wrapText="1"/>
    </xf>
    <xf numFmtId="0" fontId="9" fillId="0" borderId="0" pivotButton="0" quotePrefix="0" xfId="0"/>
    <xf numFmtId="164" fontId="4" fillId="0" borderId="0" applyAlignment="1" pivotButton="0" quotePrefix="0" xfId="1">
      <alignment vertical="center" wrapText="1"/>
    </xf>
    <xf numFmtId="164" fontId="5" fillId="0" borderId="0" applyAlignment="1" pivotButton="0" quotePrefix="0" xfId="1">
      <alignment vertical="center" wrapText="1"/>
    </xf>
    <xf numFmtId="164" fontId="7" fillId="0" borderId="0" applyAlignment="1" pivotButton="0" quotePrefix="0" xfId="1">
      <alignment horizontal="center" vertical="center"/>
    </xf>
    <xf numFmtId="0" fontId="8" fillId="9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8" fillId="9" borderId="0" pivotButton="0" quotePrefix="0" xfId="0"/>
    <xf numFmtId="0" fontId="8" fillId="9" borderId="0" applyAlignment="1" pivotButton="0" quotePrefix="0" xfId="0">
      <alignment horizontal="center"/>
    </xf>
    <xf numFmtId="0" fontId="0" fillId="0" borderId="0" pivotButton="0" quotePrefix="0" xfId="0"/>
    <xf numFmtId="3" fontId="0" fillId="0" borderId="0" pivotButton="0" quotePrefix="0" xfId="0"/>
    <xf numFmtId="164" fontId="1" fillId="0" borderId="0" applyAlignment="1" pivotButton="0" quotePrefix="0" xfId="1">
      <alignment vertical="center" wrapText="1"/>
    </xf>
    <xf numFmtId="164" fontId="1" fillId="0" borderId="0" applyAlignment="1" pivotButton="0" quotePrefix="0" xfId="1">
      <alignment horizontal="center" vertical="center" wrapText="1"/>
    </xf>
    <xf numFmtId="164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horizontal="center" vertical="center" wrapText="1"/>
    </xf>
    <xf numFmtId="164" fontId="4" fillId="0" borderId="0" applyAlignment="1" pivotButton="0" quotePrefix="0" xfId="1">
      <alignment vertical="center" wrapText="1"/>
    </xf>
    <xf numFmtId="164" fontId="5" fillId="0" borderId="0" applyAlignment="1" pivotButton="0" quotePrefix="0" xfId="1">
      <alignment vertical="center" wrapText="1"/>
    </xf>
    <xf numFmtId="164" fontId="7" fillId="0" borderId="0" applyAlignment="1" pivotButton="0" quotePrefix="0" xfId="1">
      <alignment horizontal="center" vertical="center"/>
    </xf>
    <xf numFmtId="165" fontId="0" fillId="0" borderId="0" pivotButton="0" quotePrefix="0" xfId="0"/>
    <xf numFmtId="0" fontId="12" fillId="10" borderId="0" pivotButton="0" quotePrefix="0" xfId="0"/>
    <xf numFmtId="0" fontId="12" fillId="10" borderId="0" applyAlignment="1" pivotButton="0" quotePrefix="0" xfId="0">
      <alignment horizontal="center"/>
    </xf>
    <xf numFmtId="0" fontId="13" fillId="0" borderId="0" pivotButton="0" quotePrefix="0" xfId="0"/>
    <xf numFmtId="166" fontId="0" fillId="0" borderId="0" pivotButton="0" quotePrefix="0" xfId="0"/>
  </cellXfs>
  <cellStyles count="5">
    <cellStyle name="Normal" xfId="0" builtinId="0"/>
    <cellStyle name="Comma" xfId="1" builtinId="3"/>
    <cellStyle name="Accent3" xfId="2" builtinId="37"/>
    <cellStyle name="Accent4" xfId="3" builtinId="41"/>
    <cellStyle name="60% - Accent5" xfId="4" builtinId="48"/>
  </cellStyles>
  <dxfs count="97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numFmt numFmtId="0" formatCode="General"/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numFmt numFmtId="0" formatCode="General"/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fill>
        <patternFill patternType="solid">
          <fgColor indexed="64"/>
          <bgColor theme="2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 vertical="center" wrapText="1"/>
    </dxf>
    <dxf>
      <font>
        <b val="1"/>
        <color theme="0"/>
      </font>
      <fill>
        <gradientFill type="linear" degree="135">
          <stop position="0">
            <color theme="9"/>
          </stop>
          <stop position="1">
            <color theme="4" tint="0.4000061037018952"/>
          </stop>
        </gradientFill>
      </fill>
    </dxf>
    <dxf>
      <font>
        <b val="1"/>
        <color theme="0"/>
      </font>
      <fill>
        <gradientFill type="path" left="0.5" right="0.5" top="0.5" bottom="0.5">
          <stop position="0">
            <color theme="5"/>
          </stop>
          <stop position="1">
            <color rgb="FFFF0000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ont>
        <b val="1"/>
        <color theme="0"/>
      </font>
      <fill>
        <gradientFill type="linear" degree="135">
          <stop position="0">
            <color theme="9"/>
          </stop>
          <stop position="1">
            <color theme="4" tint="0.4000061037018952"/>
          </stop>
        </gradientFill>
      </fill>
    </dxf>
    <dxf>
      <font>
        <b val="1"/>
        <color theme="0"/>
      </font>
      <fill>
        <gradientFill type="path" left="0.5" right="0.5" top="0.5" bottom="0.5">
          <stop position="0">
            <color theme="5"/>
          </stop>
          <stop position="1">
            <color rgb="FFFF0000"/>
          </stop>
        </gradientFill>
      </fill>
    </dxf>
    <dxf>
      <font>
        <b val="1"/>
        <color theme="0"/>
      </font>
      <fill>
        <gradientFill type="linear" degree="135">
          <stop position="0">
            <color theme="9"/>
          </stop>
          <stop position="1">
            <color theme="4" tint="0.4000061037018952"/>
          </stop>
        </gradientFill>
      </fill>
    </dxf>
    <dxf>
      <font>
        <b val="1"/>
        <color theme="0"/>
      </font>
      <fill>
        <gradientFill type="path" left="0.5" right="0.5" top="0.5" bottom="0.5">
          <stop position="0">
            <color theme="5"/>
          </stop>
          <stop position="1">
            <color rgb="FFFF0000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  <dxf>
      <fill>
        <gradientFill type="linear" degree="45">
          <stop position="0">
            <color theme="0"/>
          </stop>
          <stop position="1">
            <color rgb="FF92D05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FF00"/>
          </stop>
        </gradientFill>
      </fill>
    </dxf>
    <dxf>
      <fill>
        <gradientFill type="linear">
          <stop position="0">
            <color theme="0"/>
          </stop>
          <stop position="1">
            <color rgb="FFFF0000"/>
          </stop>
        </gradientFill>
      </fill>
    </dxf>
    <dxf>
      <fill>
        <gradientFill type="linear" degree="135">
          <stop position="0">
            <color theme="0"/>
          </stop>
          <stop position="1">
            <color rgb="FFFFC000"/>
          </stop>
        </gradientFill>
      </fill>
    </dxf>
    <dxf>
      <fill>
        <gradientFill type="linear" degree="90">
          <stop position="0">
            <color theme="0"/>
          </stop>
          <stop position="1">
            <color theme="8" tint="0.4000061037018952"/>
          </stop>
        </gradientFill>
      </fill>
    </dxf>
    <dxf>
      <fill>
        <gradientFill type="linear">
          <stop position="0">
            <color theme="0"/>
          </stop>
          <stop position="1">
            <color theme="7"/>
          </stop>
        </gradient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Net Investment by Sector (INR Cr) - top 8 sectors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Wide'!$B$11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Wide'!$C$11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Wide'!$D$11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Wide'!$E$11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Wide'!$F$11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Wide'!$G$11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Wide'!$I$11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Wide'!$K$11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Wide'!$L$11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Wide'!$M$11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Wide'!$N$11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Wide'!$O$11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Wide'!$P$11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Wide'!$Q$11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Wide'!$R$11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Wide'!$S$11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Wide'!$T$11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Wide'!$U$11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Wide'!$V$11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Wide'!$W$11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Wide'!$X$11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Wide'!$Y$11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Wide'!$Z$11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Wide'!$AA$11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Wide'!$AB$11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Wide'!$AC$11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Wide'!$AD$11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Wide'!$AE$11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Wide'!$AF$11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Wide'!$AG$11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Wide'!$AH$11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Wide'!$AI$11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Wide'!$AJ$11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Wide'!$AK$11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Wide'!$AL$11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Wide'!$AM$11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Wide'!$AN$11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Wide'!$AO$11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Wide'!$AP$11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Wide'!$AQ$11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Wide'!$AR$11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Wide'!$AS$11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Wide'!$AT$11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Wide'!$AU$11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Wide'!$AV$11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Wide'!$AW$11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Wide'!$AX$11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Wide'!$AY$11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Wide'!$AZ$11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Wide'!$BA$11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Wide'!$BB$11</f>
            </numRef>
          </val>
        </ser>
        <ser>
          <idx val="53"/>
          <order val="53"/>
          <tx>
            <strRef>
              <f>'Sectors Wide'!$A$11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Wide'!$BC$11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Wide'!$B$14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Wide'!$C$14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Wide'!$D$14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Wide'!$E$14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Wide'!$F$14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Wide'!$G$14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Wide'!$H$14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Wide'!$I$14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Wide'!$J$14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Wide'!$K$14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Wide'!$L$14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Wide'!$M$14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Wide'!$N$14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Wide'!$O$14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Wide'!$P$14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Wide'!$Q$14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Wide'!$R$14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Wide'!$S$14</f>
            </numRef>
          </val>
        </ser>
        <ser>
          <idx val="72"/>
          <order val="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Wide'!$T$14</f>
            </numRef>
          </val>
        </ser>
        <ser>
          <idx val="73"/>
          <order val="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Wide'!$U$14</f>
            </numRef>
          </val>
        </ser>
        <ser>
          <idx val="74"/>
          <order val="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Wide'!$V$14</f>
            </numRef>
          </val>
        </ser>
        <ser>
          <idx val="75"/>
          <order val="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Wide'!$W$14</f>
            </numRef>
          </val>
        </ser>
        <ser>
          <idx val="76"/>
          <order val="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Wide'!$X$14</f>
            </numRef>
          </val>
        </ser>
        <ser>
          <idx val="77"/>
          <order val="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Wide'!$Y$14</f>
            </numRef>
          </val>
        </ser>
        <ser>
          <idx val="78"/>
          <order val="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Wide'!$Z$14</f>
            </numRef>
          </val>
        </ser>
        <ser>
          <idx val="79"/>
          <order val="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Wide'!$AA$14</f>
            </numRef>
          </val>
        </ser>
        <ser>
          <idx val="80"/>
          <order val="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Wide'!$AB$14</f>
            </numRef>
          </val>
        </ser>
        <ser>
          <idx val="81"/>
          <order val="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Wide'!$AC$14</f>
            </numRef>
          </val>
        </ser>
        <ser>
          <idx val="82"/>
          <order val="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Wide'!$AD$14</f>
            </numRef>
          </val>
        </ser>
        <ser>
          <idx val="83"/>
          <order val="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Wide'!$AE$14</f>
            </numRef>
          </val>
        </ser>
        <ser>
          <idx val="84"/>
          <order val="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Wide'!$AF$14</f>
            </numRef>
          </val>
        </ser>
        <ser>
          <idx val="85"/>
          <order val="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Wide'!$AG$14</f>
            </numRef>
          </val>
        </ser>
        <ser>
          <idx val="86"/>
          <order val="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Wide'!$AH$14</f>
            </numRef>
          </val>
        </ser>
        <ser>
          <idx val="87"/>
          <order val="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Wide'!$AI$14</f>
            </numRef>
          </val>
        </ser>
        <ser>
          <idx val="88"/>
          <order val="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Wide'!$AJ$14</f>
            </numRef>
          </val>
        </ser>
        <ser>
          <idx val="89"/>
          <order val="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Wide'!$AK$14</f>
            </numRef>
          </val>
        </ser>
        <ser>
          <idx val="90"/>
          <order val="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Wide'!$AL$14</f>
            </numRef>
          </val>
        </ser>
        <ser>
          <idx val="91"/>
          <order val="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Wide'!$AM$14</f>
            </numRef>
          </val>
        </ser>
        <ser>
          <idx val="92"/>
          <order val="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Wide'!$AN$14</f>
            </numRef>
          </val>
        </ser>
        <ser>
          <idx val="93"/>
          <order val="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Wide'!$AO$14</f>
            </numRef>
          </val>
        </ser>
        <ser>
          <idx val="94"/>
          <order val="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Wide'!$AP$14</f>
            </numRef>
          </val>
        </ser>
        <ser>
          <idx val="95"/>
          <order val="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Wide'!$AQ$14</f>
            </numRef>
          </val>
        </ser>
        <ser>
          <idx val="96"/>
          <order val="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Wide'!$AR$14</f>
            </numRef>
          </val>
        </ser>
        <ser>
          <idx val="97"/>
          <order val="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Wide'!$AS$14</f>
            </numRef>
          </val>
        </ser>
        <ser>
          <idx val="98"/>
          <order val="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Wide'!$AT$14</f>
            </numRef>
          </val>
        </ser>
        <ser>
          <idx val="99"/>
          <order val="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Wide'!$AU$14</f>
            </numRef>
          </val>
        </ser>
        <ser>
          <idx val="100"/>
          <order val="1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Wide'!$AV$14</f>
            </numRef>
          </val>
        </ser>
        <ser>
          <idx val="101"/>
          <order val="1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Wide'!$AW$14</f>
            </numRef>
          </val>
        </ser>
        <ser>
          <idx val="102"/>
          <order val="1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Wide'!$AX$14</f>
            </numRef>
          </val>
        </ser>
        <ser>
          <idx val="103"/>
          <order val="1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Wide'!$AY$14</f>
            </numRef>
          </val>
        </ser>
        <ser>
          <idx val="104"/>
          <order val="1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Wide'!$AZ$14</f>
            </numRef>
          </val>
        </ser>
        <ser>
          <idx val="105"/>
          <order val="1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Wide'!$BA$14</f>
            </numRef>
          </val>
        </ser>
        <ser>
          <idx val="106"/>
          <order val="1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Wide'!$BB$14</f>
            </numRef>
          </val>
        </ser>
        <ser>
          <idx val="107"/>
          <order val="107"/>
          <tx>
            <strRef>
              <f>'Sectors Wide'!$A$14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Wide'!$BC$14</f>
            </numRef>
          </val>
        </ser>
        <ser>
          <idx val="108"/>
          <order val="1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Wide'!$B$17</f>
            </numRef>
          </val>
        </ser>
        <ser>
          <idx val="109"/>
          <order val="1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Wide'!$C$17</f>
            </numRef>
          </val>
        </ser>
        <ser>
          <idx val="110"/>
          <order val="1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Wide'!$D$17</f>
            </numRef>
          </val>
        </ser>
        <ser>
          <idx val="111"/>
          <order val="1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Wide'!$E$17</f>
            </numRef>
          </val>
        </ser>
        <ser>
          <idx val="112"/>
          <order val="1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Wide'!$F$17</f>
            </numRef>
          </val>
        </ser>
        <ser>
          <idx val="113"/>
          <order val="1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Wide'!$G$17</f>
            </numRef>
          </val>
        </ser>
        <ser>
          <idx val="114"/>
          <order val="1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Wide'!$H$17</f>
            </numRef>
          </val>
        </ser>
        <ser>
          <idx val="115"/>
          <order val="1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Wide'!$I$17</f>
            </numRef>
          </val>
        </ser>
        <ser>
          <idx val="116"/>
          <order val="1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Wide'!$J$17</f>
            </numRef>
          </val>
        </ser>
        <ser>
          <idx val="117"/>
          <order val="1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Wide'!$K$17</f>
            </numRef>
          </val>
        </ser>
        <ser>
          <idx val="118"/>
          <order val="1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Wide'!$L$17</f>
            </numRef>
          </val>
        </ser>
        <ser>
          <idx val="119"/>
          <order val="1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Wide'!$M$17</f>
            </numRef>
          </val>
        </ser>
        <ser>
          <idx val="120"/>
          <order val="1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Wide'!$N$17</f>
            </numRef>
          </val>
        </ser>
        <ser>
          <idx val="121"/>
          <order val="1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Wide'!$O$17</f>
            </numRef>
          </val>
        </ser>
        <ser>
          <idx val="122"/>
          <order val="1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Wide'!$P$17</f>
            </numRef>
          </val>
        </ser>
        <ser>
          <idx val="123"/>
          <order val="1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Wide'!$Q$17</f>
            </numRef>
          </val>
        </ser>
        <ser>
          <idx val="124"/>
          <order val="1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Wide'!$R$17</f>
            </numRef>
          </val>
        </ser>
        <ser>
          <idx val="125"/>
          <order val="1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Wide'!$S$17</f>
            </numRef>
          </val>
        </ser>
        <ser>
          <idx val="126"/>
          <order val="1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Wide'!$T$17</f>
            </numRef>
          </val>
        </ser>
        <ser>
          <idx val="127"/>
          <order val="1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Wide'!$U$17</f>
            </numRef>
          </val>
        </ser>
        <ser>
          <idx val="128"/>
          <order val="1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Wide'!$V$17</f>
            </numRef>
          </val>
        </ser>
        <ser>
          <idx val="129"/>
          <order val="1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Wide'!$W$17</f>
            </numRef>
          </val>
        </ser>
        <ser>
          <idx val="130"/>
          <order val="1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Wide'!$X$17</f>
            </numRef>
          </val>
        </ser>
        <ser>
          <idx val="131"/>
          <order val="1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Wide'!$Y$17</f>
            </numRef>
          </val>
        </ser>
        <ser>
          <idx val="132"/>
          <order val="1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Wide'!$Z$17</f>
            </numRef>
          </val>
        </ser>
        <ser>
          <idx val="133"/>
          <order val="1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Wide'!$AA$17</f>
            </numRef>
          </val>
        </ser>
        <ser>
          <idx val="134"/>
          <order val="1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Wide'!$AB$17</f>
            </numRef>
          </val>
        </ser>
        <ser>
          <idx val="135"/>
          <order val="1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Wide'!$AC$17</f>
            </numRef>
          </val>
        </ser>
        <ser>
          <idx val="136"/>
          <order val="1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Wide'!$AD$17</f>
            </numRef>
          </val>
        </ser>
        <ser>
          <idx val="137"/>
          <order val="1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Wide'!$AE$17</f>
            </numRef>
          </val>
        </ser>
        <ser>
          <idx val="138"/>
          <order val="1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Wide'!$AF$17</f>
            </numRef>
          </val>
        </ser>
        <ser>
          <idx val="139"/>
          <order val="1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Wide'!$AG$17</f>
            </numRef>
          </val>
        </ser>
        <ser>
          <idx val="140"/>
          <order val="1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Wide'!$AH$17</f>
            </numRef>
          </val>
        </ser>
        <ser>
          <idx val="141"/>
          <order val="1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Wide'!$AI$17</f>
            </numRef>
          </val>
        </ser>
        <ser>
          <idx val="142"/>
          <order val="1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Wide'!$AJ$17</f>
            </numRef>
          </val>
        </ser>
        <ser>
          <idx val="143"/>
          <order val="1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Wide'!$AK$17</f>
            </numRef>
          </val>
        </ser>
        <ser>
          <idx val="144"/>
          <order val="1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Wide'!$AL$17</f>
            </numRef>
          </val>
        </ser>
        <ser>
          <idx val="145"/>
          <order val="1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Wide'!$AM$17</f>
            </numRef>
          </val>
        </ser>
        <ser>
          <idx val="146"/>
          <order val="1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Wide'!$AN$17</f>
            </numRef>
          </val>
        </ser>
        <ser>
          <idx val="147"/>
          <order val="1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Wide'!$AO$17</f>
            </numRef>
          </val>
        </ser>
        <ser>
          <idx val="148"/>
          <order val="1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Wide'!$AP$17</f>
            </numRef>
          </val>
        </ser>
        <ser>
          <idx val="149"/>
          <order val="1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Wide'!$AQ$17</f>
            </numRef>
          </val>
        </ser>
        <ser>
          <idx val="150"/>
          <order val="1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Wide'!$AR$17</f>
            </numRef>
          </val>
        </ser>
        <ser>
          <idx val="151"/>
          <order val="1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Wide'!$AS$17</f>
            </numRef>
          </val>
        </ser>
        <ser>
          <idx val="152"/>
          <order val="1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Wide'!$AT$17</f>
            </numRef>
          </val>
        </ser>
        <ser>
          <idx val="153"/>
          <order val="1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Wide'!$AU$17</f>
            </numRef>
          </val>
        </ser>
        <ser>
          <idx val="154"/>
          <order val="1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Wide'!$AV$17</f>
            </numRef>
          </val>
        </ser>
        <ser>
          <idx val="155"/>
          <order val="1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Wide'!$AW$17</f>
            </numRef>
          </val>
        </ser>
        <ser>
          <idx val="156"/>
          <order val="1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Wide'!$AX$17</f>
            </numRef>
          </val>
        </ser>
        <ser>
          <idx val="157"/>
          <order val="1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Wide'!$AY$17</f>
            </numRef>
          </val>
        </ser>
        <ser>
          <idx val="158"/>
          <order val="1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Wide'!$AZ$17</f>
            </numRef>
          </val>
        </ser>
        <ser>
          <idx val="159"/>
          <order val="1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Wide'!$BA$17</f>
            </numRef>
          </val>
        </ser>
        <ser>
          <idx val="160"/>
          <order val="1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Wide'!$BB$17</f>
            </numRef>
          </val>
        </ser>
        <ser>
          <idx val="161"/>
          <order val="161"/>
          <tx>
            <strRef>
              <f>'Sectors Wide'!$A$17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Wide'!$BC$17</f>
            </numRef>
          </val>
        </ser>
        <ser>
          <idx val="162"/>
          <order val="1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Wide'!$B$2</f>
            </numRef>
          </val>
        </ser>
        <ser>
          <idx val="163"/>
          <order val="1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Wide'!$C$2</f>
            </numRef>
          </val>
        </ser>
        <ser>
          <idx val="164"/>
          <order val="1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Wide'!$D$2</f>
            </numRef>
          </val>
        </ser>
        <ser>
          <idx val="165"/>
          <order val="1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Wide'!$E$2</f>
            </numRef>
          </val>
        </ser>
        <ser>
          <idx val="166"/>
          <order val="1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Wide'!$F$2</f>
            </numRef>
          </val>
        </ser>
        <ser>
          <idx val="167"/>
          <order val="1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Wide'!$G$2</f>
            </numRef>
          </val>
        </ser>
        <ser>
          <idx val="168"/>
          <order val="1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Wide'!$H$2</f>
            </numRef>
          </val>
        </ser>
        <ser>
          <idx val="169"/>
          <order val="1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Wide'!$I$2</f>
            </numRef>
          </val>
        </ser>
        <ser>
          <idx val="170"/>
          <order val="1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Wide'!$J$2</f>
            </numRef>
          </val>
        </ser>
        <ser>
          <idx val="171"/>
          <order val="1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Wide'!$K$2</f>
            </numRef>
          </val>
        </ser>
        <ser>
          <idx val="172"/>
          <order val="1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Wide'!$L$2</f>
            </numRef>
          </val>
        </ser>
        <ser>
          <idx val="173"/>
          <order val="1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Wide'!$M$2</f>
            </numRef>
          </val>
        </ser>
        <ser>
          <idx val="174"/>
          <order val="1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Wide'!$N$2</f>
            </numRef>
          </val>
        </ser>
        <ser>
          <idx val="175"/>
          <order val="1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Wide'!$O$2</f>
            </numRef>
          </val>
        </ser>
        <ser>
          <idx val="176"/>
          <order val="1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Wide'!$P$2</f>
            </numRef>
          </val>
        </ser>
        <ser>
          <idx val="177"/>
          <order val="1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Wide'!$Q$2</f>
            </numRef>
          </val>
        </ser>
        <ser>
          <idx val="178"/>
          <order val="1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Wide'!$R$2</f>
            </numRef>
          </val>
        </ser>
        <ser>
          <idx val="179"/>
          <order val="1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Wide'!$S$2</f>
            </numRef>
          </val>
        </ser>
        <ser>
          <idx val="180"/>
          <order val="1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Wide'!$T$2</f>
            </numRef>
          </val>
        </ser>
        <ser>
          <idx val="181"/>
          <order val="1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Wide'!$U$2</f>
            </numRef>
          </val>
        </ser>
        <ser>
          <idx val="182"/>
          <order val="1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Wide'!$V$2</f>
            </numRef>
          </val>
        </ser>
        <ser>
          <idx val="183"/>
          <order val="1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Wide'!$W$2</f>
            </numRef>
          </val>
        </ser>
        <ser>
          <idx val="184"/>
          <order val="1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Wide'!$X$2</f>
            </numRef>
          </val>
        </ser>
        <ser>
          <idx val="185"/>
          <order val="1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Wide'!$Y$2</f>
            </numRef>
          </val>
        </ser>
        <ser>
          <idx val="186"/>
          <order val="1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Wide'!$Z$2</f>
            </numRef>
          </val>
        </ser>
        <ser>
          <idx val="187"/>
          <order val="1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Wide'!$AA$2</f>
            </numRef>
          </val>
        </ser>
        <ser>
          <idx val="188"/>
          <order val="1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Wide'!$AB$2</f>
            </numRef>
          </val>
        </ser>
        <ser>
          <idx val="189"/>
          <order val="1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Wide'!$AC$2</f>
            </numRef>
          </val>
        </ser>
        <ser>
          <idx val="190"/>
          <order val="1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Wide'!$AD$2</f>
            </numRef>
          </val>
        </ser>
        <ser>
          <idx val="191"/>
          <order val="1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Wide'!$AE$2</f>
            </numRef>
          </val>
        </ser>
        <ser>
          <idx val="192"/>
          <order val="1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Wide'!$AF$2</f>
            </numRef>
          </val>
        </ser>
        <ser>
          <idx val="193"/>
          <order val="1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Wide'!$AG$2</f>
            </numRef>
          </val>
        </ser>
        <ser>
          <idx val="194"/>
          <order val="1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Wide'!$AH$2</f>
            </numRef>
          </val>
        </ser>
        <ser>
          <idx val="195"/>
          <order val="1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Wide'!$AI$2</f>
            </numRef>
          </val>
        </ser>
        <ser>
          <idx val="196"/>
          <order val="1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Wide'!$AJ$2</f>
            </numRef>
          </val>
        </ser>
        <ser>
          <idx val="197"/>
          <order val="1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Wide'!$AK$2</f>
            </numRef>
          </val>
        </ser>
        <ser>
          <idx val="198"/>
          <order val="1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Wide'!$AL$2</f>
            </numRef>
          </val>
        </ser>
        <ser>
          <idx val="199"/>
          <order val="1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Wide'!$AM$2</f>
            </numRef>
          </val>
        </ser>
        <ser>
          <idx val="200"/>
          <order val="2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Wide'!$AN$2</f>
            </numRef>
          </val>
        </ser>
        <ser>
          <idx val="201"/>
          <order val="2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Wide'!$AO$2</f>
            </numRef>
          </val>
        </ser>
        <ser>
          <idx val="202"/>
          <order val="2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Wide'!$AP$2</f>
            </numRef>
          </val>
        </ser>
        <ser>
          <idx val="203"/>
          <order val="2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Wide'!$AQ$2</f>
            </numRef>
          </val>
        </ser>
        <ser>
          <idx val="204"/>
          <order val="2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Wide'!$AR$2</f>
            </numRef>
          </val>
        </ser>
        <ser>
          <idx val="205"/>
          <order val="2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Wide'!$AS$2</f>
            </numRef>
          </val>
        </ser>
        <ser>
          <idx val="206"/>
          <order val="2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Wide'!$AT$2</f>
            </numRef>
          </val>
        </ser>
        <ser>
          <idx val="207"/>
          <order val="2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Wide'!$AU$2</f>
            </numRef>
          </val>
        </ser>
        <ser>
          <idx val="208"/>
          <order val="2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Wide'!$AV$2</f>
            </numRef>
          </val>
        </ser>
        <ser>
          <idx val="209"/>
          <order val="2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Wide'!$AW$2</f>
            </numRef>
          </val>
        </ser>
        <ser>
          <idx val="210"/>
          <order val="2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Wide'!$AX$2</f>
            </numRef>
          </val>
        </ser>
        <ser>
          <idx val="211"/>
          <order val="2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Wide'!$AY$2</f>
            </numRef>
          </val>
        </ser>
        <ser>
          <idx val="212"/>
          <order val="2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Wide'!$AZ$2</f>
            </numRef>
          </val>
        </ser>
        <ser>
          <idx val="213"/>
          <order val="2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Wide'!$BA$2</f>
            </numRef>
          </val>
        </ser>
        <ser>
          <idx val="214"/>
          <order val="2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Wide'!$BB$2</f>
            </numRef>
          </val>
        </ser>
        <ser>
          <idx val="215"/>
          <order val="215"/>
          <tx>
            <strRef>
              <f>'Sectors Wide'!$A$2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Wide'!$BC$2</f>
            </numRef>
          </val>
        </ser>
        <ser>
          <idx val="216"/>
          <order val="2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Wide'!$B$10</f>
            </numRef>
          </val>
        </ser>
        <ser>
          <idx val="217"/>
          <order val="2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Wide'!$C$10</f>
            </numRef>
          </val>
        </ser>
        <ser>
          <idx val="218"/>
          <order val="2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Wide'!$D$10</f>
            </numRef>
          </val>
        </ser>
        <ser>
          <idx val="219"/>
          <order val="2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Wide'!$E$10</f>
            </numRef>
          </val>
        </ser>
        <ser>
          <idx val="220"/>
          <order val="2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Wide'!$F$10</f>
            </numRef>
          </val>
        </ser>
        <ser>
          <idx val="221"/>
          <order val="2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Wide'!$G$10</f>
            </numRef>
          </val>
        </ser>
        <ser>
          <idx val="222"/>
          <order val="2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Wide'!$H$10</f>
            </numRef>
          </val>
        </ser>
        <ser>
          <idx val="223"/>
          <order val="2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Wide'!$I$10</f>
            </numRef>
          </val>
        </ser>
        <ser>
          <idx val="224"/>
          <order val="2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Wide'!$J$10</f>
            </numRef>
          </val>
        </ser>
        <ser>
          <idx val="225"/>
          <order val="2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Wide'!$K$10</f>
            </numRef>
          </val>
        </ser>
        <ser>
          <idx val="226"/>
          <order val="2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Wide'!$L$10</f>
            </numRef>
          </val>
        </ser>
        <ser>
          <idx val="227"/>
          <order val="2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Wide'!$M$10</f>
            </numRef>
          </val>
        </ser>
        <ser>
          <idx val="228"/>
          <order val="2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Wide'!$N$10</f>
            </numRef>
          </val>
        </ser>
        <ser>
          <idx val="229"/>
          <order val="2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Wide'!$O$10</f>
            </numRef>
          </val>
        </ser>
        <ser>
          <idx val="230"/>
          <order val="2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Wide'!$P$10</f>
            </numRef>
          </val>
        </ser>
        <ser>
          <idx val="231"/>
          <order val="2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Wide'!$Q$10</f>
            </numRef>
          </val>
        </ser>
        <ser>
          <idx val="232"/>
          <order val="2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Wide'!$R$10</f>
            </numRef>
          </val>
        </ser>
        <ser>
          <idx val="233"/>
          <order val="2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Wide'!$S$10</f>
            </numRef>
          </val>
        </ser>
        <ser>
          <idx val="234"/>
          <order val="2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Wide'!$T$10</f>
            </numRef>
          </val>
        </ser>
        <ser>
          <idx val="235"/>
          <order val="2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Wide'!$U$10</f>
            </numRef>
          </val>
        </ser>
        <ser>
          <idx val="236"/>
          <order val="2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Wide'!$V$10</f>
            </numRef>
          </val>
        </ser>
        <ser>
          <idx val="237"/>
          <order val="2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Wide'!$W$10</f>
            </numRef>
          </val>
        </ser>
        <ser>
          <idx val="238"/>
          <order val="2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Wide'!$X$10</f>
            </numRef>
          </val>
        </ser>
        <ser>
          <idx val="239"/>
          <order val="2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Wide'!$Y$10</f>
            </numRef>
          </val>
        </ser>
        <ser>
          <idx val="240"/>
          <order val="2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Wide'!$Z$10</f>
            </numRef>
          </val>
        </ser>
        <ser>
          <idx val="241"/>
          <order val="2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Wide'!$AA$10</f>
            </numRef>
          </val>
        </ser>
        <ser>
          <idx val="242"/>
          <order val="2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Wide'!$AB$10</f>
            </numRef>
          </val>
        </ser>
        <ser>
          <idx val="243"/>
          <order val="2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Wide'!$AC$10</f>
            </numRef>
          </val>
        </ser>
        <ser>
          <idx val="244"/>
          <order val="2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Wide'!$AD$10</f>
            </numRef>
          </val>
        </ser>
        <ser>
          <idx val="245"/>
          <order val="2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Wide'!$AE$10</f>
            </numRef>
          </val>
        </ser>
        <ser>
          <idx val="246"/>
          <order val="2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Wide'!$AF$10</f>
            </numRef>
          </val>
        </ser>
        <ser>
          <idx val="247"/>
          <order val="2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Wide'!$AG$10</f>
            </numRef>
          </val>
        </ser>
        <ser>
          <idx val="248"/>
          <order val="2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Wide'!$AH$10</f>
            </numRef>
          </val>
        </ser>
        <ser>
          <idx val="249"/>
          <order val="2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Wide'!$AI$10</f>
            </numRef>
          </val>
        </ser>
        <ser>
          <idx val="250"/>
          <order val="2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Wide'!$AJ$10</f>
            </numRef>
          </val>
        </ser>
        <ser>
          <idx val="251"/>
          <order val="2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Wide'!$AK$10</f>
            </numRef>
          </val>
        </ser>
        <ser>
          <idx val="252"/>
          <order val="2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Wide'!$AL$10</f>
            </numRef>
          </val>
        </ser>
        <ser>
          <idx val="253"/>
          <order val="2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Wide'!$AM$10</f>
            </numRef>
          </val>
        </ser>
        <ser>
          <idx val="254"/>
          <order val="2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Wide'!$AN$10</f>
            </numRef>
          </val>
        </ser>
        <ser>
          <idx val="255"/>
          <order val="2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Wide'!$AO$10</f>
            </numRef>
          </val>
        </ser>
        <ser>
          <idx val="256"/>
          <order val="2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Wide'!$AP$10</f>
            </numRef>
          </val>
        </ser>
        <ser>
          <idx val="257"/>
          <order val="2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Wide'!$AQ$10</f>
            </numRef>
          </val>
        </ser>
        <ser>
          <idx val="258"/>
          <order val="2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Wide'!$AR$10</f>
            </numRef>
          </val>
        </ser>
        <ser>
          <idx val="259"/>
          <order val="2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Wide'!$AS$10</f>
            </numRef>
          </val>
        </ser>
        <ser>
          <idx val="260"/>
          <order val="2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Wide'!$AT$10</f>
            </numRef>
          </val>
        </ser>
        <ser>
          <idx val="261"/>
          <order val="2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Wide'!$AU$10</f>
            </numRef>
          </val>
        </ser>
        <ser>
          <idx val="262"/>
          <order val="2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Wide'!$AV$10</f>
            </numRef>
          </val>
        </ser>
        <ser>
          <idx val="263"/>
          <order val="2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Wide'!$AW$10</f>
            </numRef>
          </val>
        </ser>
        <ser>
          <idx val="264"/>
          <order val="2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Wide'!$AX$10</f>
            </numRef>
          </val>
        </ser>
        <ser>
          <idx val="265"/>
          <order val="2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Wide'!$AY$10</f>
            </numRef>
          </val>
        </ser>
        <ser>
          <idx val="266"/>
          <order val="2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Wide'!$AZ$10</f>
            </numRef>
          </val>
        </ser>
        <ser>
          <idx val="267"/>
          <order val="2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Wide'!$BA$10</f>
            </numRef>
          </val>
        </ser>
        <ser>
          <idx val="268"/>
          <order val="2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Wide'!$BB$10</f>
            </numRef>
          </val>
        </ser>
        <ser>
          <idx val="269"/>
          <order val="269"/>
          <tx>
            <strRef>
              <f>'Sectors Wide'!$A$10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Wide'!$BC$10</f>
            </numRef>
          </val>
        </ser>
        <ser>
          <idx val="270"/>
          <order val="2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Wide'!$B$8</f>
            </numRef>
          </val>
        </ser>
        <ser>
          <idx val="271"/>
          <order val="2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Wide'!$C$8</f>
            </numRef>
          </val>
        </ser>
        <ser>
          <idx val="272"/>
          <order val="2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Wide'!$D$8</f>
            </numRef>
          </val>
        </ser>
        <ser>
          <idx val="273"/>
          <order val="2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Wide'!$E$8</f>
            </numRef>
          </val>
        </ser>
        <ser>
          <idx val="274"/>
          <order val="2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Wide'!$F$8</f>
            </numRef>
          </val>
        </ser>
        <ser>
          <idx val="275"/>
          <order val="2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Wide'!$G$8</f>
            </numRef>
          </val>
        </ser>
        <ser>
          <idx val="276"/>
          <order val="2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Wide'!$H$8</f>
            </numRef>
          </val>
        </ser>
        <ser>
          <idx val="277"/>
          <order val="2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Wide'!$I$8</f>
            </numRef>
          </val>
        </ser>
        <ser>
          <idx val="278"/>
          <order val="2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Wide'!$J$8</f>
            </numRef>
          </val>
        </ser>
        <ser>
          <idx val="279"/>
          <order val="2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Wide'!$K$8</f>
            </numRef>
          </val>
        </ser>
        <ser>
          <idx val="280"/>
          <order val="2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Wide'!$L$8</f>
            </numRef>
          </val>
        </ser>
        <ser>
          <idx val="281"/>
          <order val="2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Wide'!$M$8</f>
            </numRef>
          </val>
        </ser>
        <ser>
          <idx val="282"/>
          <order val="2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Wide'!$N$8</f>
            </numRef>
          </val>
        </ser>
        <ser>
          <idx val="283"/>
          <order val="2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Wide'!$O$8</f>
            </numRef>
          </val>
        </ser>
        <ser>
          <idx val="284"/>
          <order val="2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Wide'!$P$8</f>
            </numRef>
          </val>
        </ser>
        <ser>
          <idx val="285"/>
          <order val="2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Wide'!$Q$8</f>
            </numRef>
          </val>
        </ser>
        <ser>
          <idx val="286"/>
          <order val="2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Wide'!$R$8</f>
            </numRef>
          </val>
        </ser>
        <ser>
          <idx val="287"/>
          <order val="2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Wide'!$S$8</f>
            </numRef>
          </val>
        </ser>
        <ser>
          <idx val="288"/>
          <order val="2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Wide'!$T$8</f>
            </numRef>
          </val>
        </ser>
        <ser>
          <idx val="289"/>
          <order val="2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Wide'!$U$8</f>
            </numRef>
          </val>
        </ser>
        <ser>
          <idx val="290"/>
          <order val="2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Wide'!$V$8</f>
            </numRef>
          </val>
        </ser>
        <ser>
          <idx val="291"/>
          <order val="2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Wide'!$W$8</f>
            </numRef>
          </val>
        </ser>
        <ser>
          <idx val="292"/>
          <order val="2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Wide'!$X$8</f>
            </numRef>
          </val>
        </ser>
        <ser>
          <idx val="293"/>
          <order val="2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Wide'!$Y$8</f>
            </numRef>
          </val>
        </ser>
        <ser>
          <idx val="294"/>
          <order val="2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Wide'!$Z$8</f>
            </numRef>
          </val>
        </ser>
        <ser>
          <idx val="295"/>
          <order val="2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Wide'!$AA$8</f>
            </numRef>
          </val>
        </ser>
        <ser>
          <idx val="296"/>
          <order val="2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Wide'!$AB$8</f>
            </numRef>
          </val>
        </ser>
        <ser>
          <idx val="297"/>
          <order val="2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Wide'!$AC$8</f>
            </numRef>
          </val>
        </ser>
        <ser>
          <idx val="298"/>
          <order val="2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Wide'!$AD$8</f>
            </numRef>
          </val>
        </ser>
        <ser>
          <idx val="299"/>
          <order val="2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Wide'!$AE$8</f>
            </numRef>
          </val>
        </ser>
        <ser>
          <idx val="300"/>
          <order val="3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Wide'!$AF$8</f>
            </numRef>
          </val>
        </ser>
        <ser>
          <idx val="301"/>
          <order val="3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Wide'!$AG$8</f>
            </numRef>
          </val>
        </ser>
        <ser>
          <idx val="302"/>
          <order val="3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Wide'!$AH$8</f>
            </numRef>
          </val>
        </ser>
        <ser>
          <idx val="303"/>
          <order val="3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Wide'!$AI$8</f>
            </numRef>
          </val>
        </ser>
        <ser>
          <idx val="304"/>
          <order val="3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Wide'!$AJ$8</f>
            </numRef>
          </val>
        </ser>
        <ser>
          <idx val="305"/>
          <order val="3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Wide'!$AK$8</f>
            </numRef>
          </val>
        </ser>
        <ser>
          <idx val="306"/>
          <order val="3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Wide'!$AL$8</f>
            </numRef>
          </val>
        </ser>
        <ser>
          <idx val="307"/>
          <order val="3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Wide'!$AM$8</f>
            </numRef>
          </val>
        </ser>
        <ser>
          <idx val="308"/>
          <order val="3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Wide'!$AN$8</f>
            </numRef>
          </val>
        </ser>
        <ser>
          <idx val="309"/>
          <order val="3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Wide'!$AO$8</f>
            </numRef>
          </val>
        </ser>
        <ser>
          <idx val="310"/>
          <order val="3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Wide'!$AP$8</f>
            </numRef>
          </val>
        </ser>
        <ser>
          <idx val="311"/>
          <order val="3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Wide'!$AQ$8</f>
            </numRef>
          </val>
        </ser>
        <ser>
          <idx val="312"/>
          <order val="3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Wide'!$AR$8</f>
            </numRef>
          </val>
        </ser>
        <ser>
          <idx val="313"/>
          <order val="3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Wide'!$AS$8</f>
            </numRef>
          </val>
        </ser>
        <ser>
          <idx val="314"/>
          <order val="3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Wide'!$AT$8</f>
            </numRef>
          </val>
        </ser>
        <ser>
          <idx val="315"/>
          <order val="3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Wide'!$AU$8</f>
            </numRef>
          </val>
        </ser>
        <ser>
          <idx val="316"/>
          <order val="3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Wide'!$AV$8</f>
            </numRef>
          </val>
        </ser>
        <ser>
          <idx val="317"/>
          <order val="3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Wide'!$AW$8</f>
            </numRef>
          </val>
        </ser>
        <ser>
          <idx val="318"/>
          <order val="3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Wide'!$AX$8</f>
            </numRef>
          </val>
        </ser>
        <ser>
          <idx val="319"/>
          <order val="3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Wide'!$AY$8</f>
            </numRef>
          </val>
        </ser>
        <ser>
          <idx val="320"/>
          <order val="3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Wide'!$AZ$8</f>
            </numRef>
          </val>
        </ser>
        <ser>
          <idx val="321"/>
          <order val="3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Wide'!$BA$8</f>
            </numRef>
          </val>
        </ser>
        <ser>
          <idx val="322"/>
          <order val="3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Wide'!$BB$8</f>
            </numRef>
          </val>
        </ser>
        <ser>
          <idx val="323"/>
          <order val="323"/>
          <tx>
            <strRef>
              <f>'Sectors Wide'!$A$8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Wide'!$BC$8</f>
            </numRef>
          </val>
        </ser>
        <ser>
          <idx val="324"/>
          <order val="3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Wide'!$B$22</f>
            </numRef>
          </val>
        </ser>
        <ser>
          <idx val="325"/>
          <order val="3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Wide'!$C$22</f>
            </numRef>
          </val>
        </ser>
        <ser>
          <idx val="326"/>
          <order val="3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Wide'!$D$22</f>
            </numRef>
          </val>
        </ser>
        <ser>
          <idx val="327"/>
          <order val="3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Wide'!$E$22</f>
            </numRef>
          </val>
        </ser>
        <ser>
          <idx val="328"/>
          <order val="3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Wide'!$F$22</f>
            </numRef>
          </val>
        </ser>
        <ser>
          <idx val="329"/>
          <order val="3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Wide'!$G$22</f>
            </numRef>
          </val>
        </ser>
        <ser>
          <idx val="330"/>
          <order val="3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Wide'!$H$22</f>
            </numRef>
          </val>
        </ser>
        <ser>
          <idx val="331"/>
          <order val="3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Wide'!$I$22</f>
            </numRef>
          </val>
        </ser>
        <ser>
          <idx val="332"/>
          <order val="3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Wide'!$J$22</f>
            </numRef>
          </val>
        </ser>
        <ser>
          <idx val="333"/>
          <order val="3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Wide'!$K$22</f>
            </numRef>
          </val>
        </ser>
        <ser>
          <idx val="334"/>
          <order val="3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Wide'!$L$22</f>
            </numRef>
          </val>
        </ser>
        <ser>
          <idx val="335"/>
          <order val="3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Wide'!$M$22</f>
            </numRef>
          </val>
        </ser>
        <ser>
          <idx val="336"/>
          <order val="3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Wide'!$N$22</f>
            </numRef>
          </val>
        </ser>
        <ser>
          <idx val="337"/>
          <order val="3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Wide'!$O$22</f>
            </numRef>
          </val>
        </ser>
        <ser>
          <idx val="338"/>
          <order val="3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Wide'!$P$22</f>
            </numRef>
          </val>
        </ser>
        <ser>
          <idx val="339"/>
          <order val="3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Wide'!$Q$22</f>
            </numRef>
          </val>
        </ser>
        <ser>
          <idx val="340"/>
          <order val="3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Wide'!$R$22</f>
            </numRef>
          </val>
        </ser>
        <ser>
          <idx val="341"/>
          <order val="3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Wide'!$S$22</f>
            </numRef>
          </val>
        </ser>
        <ser>
          <idx val="342"/>
          <order val="3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Wide'!$T$22</f>
            </numRef>
          </val>
        </ser>
        <ser>
          <idx val="343"/>
          <order val="3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Wide'!$U$22</f>
            </numRef>
          </val>
        </ser>
        <ser>
          <idx val="344"/>
          <order val="3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Wide'!$V$22</f>
            </numRef>
          </val>
        </ser>
        <ser>
          <idx val="345"/>
          <order val="3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Wide'!$W$22</f>
            </numRef>
          </val>
        </ser>
        <ser>
          <idx val="346"/>
          <order val="3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Wide'!$X$22</f>
            </numRef>
          </val>
        </ser>
        <ser>
          <idx val="347"/>
          <order val="3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Wide'!$Y$22</f>
            </numRef>
          </val>
        </ser>
        <ser>
          <idx val="348"/>
          <order val="3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Wide'!$Z$22</f>
            </numRef>
          </val>
        </ser>
        <ser>
          <idx val="349"/>
          <order val="3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Wide'!$AA$22</f>
            </numRef>
          </val>
        </ser>
        <ser>
          <idx val="350"/>
          <order val="3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Wide'!$AB$22</f>
            </numRef>
          </val>
        </ser>
        <ser>
          <idx val="351"/>
          <order val="3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Wide'!$AC$22</f>
            </numRef>
          </val>
        </ser>
        <ser>
          <idx val="352"/>
          <order val="3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Wide'!$AD$22</f>
            </numRef>
          </val>
        </ser>
        <ser>
          <idx val="353"/>
          <order val="3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Wide'!$AE$22</f>
            </numRef>
          </val>
        </ser>
        <ser>
          <idx val="354"/>
          <order val="3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Wide'!$AF$22</f>
            </numRef>
          </val>
        </ser>
        <ser>
          <idx val="355"/>
          <order val="3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Wide'!$AG$22</f>
            </numRef>
          </val>
        </ser>
        <ser>
          <idx val="356"/>
          <order val="3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Wide'!$AH$22</f>
            </numRef>
          </val>
        </ser>
        <ser>
          <idx val="357"/>
          <order val="3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Wide'!$AI$22</f>
            </numRef>
          </val>
        </ser>
        <ser>
          <idx val="358"/>
          <order val="3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Wide'!$AJ$22</f>
            </numRef>
          </val>
        </ser>
        <ser>
          <idx val="359"/>
          <order val="3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Wide'!$AK$22</f>
            </numRef>
          </val>
        </ser>
        <ser>
          <idx val="360"/>
          <order val="3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Wide'!$AL$22</f>
            </numRef>
          </val>
        </ser>
        <ser>
          <idx val="361"/>
          <order val="3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Wide'!$AM$22</f>
            </numRef>
          </val>
        </ser>
        <ser>
          <idx val="362"/>
          <order val="3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Wide'!$AN$22</f>
            </numRef>
          </val>
        </ser>
        <ser>
          <idx val="363"/>
          <order val="3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Wide'!$AO$22</f>
            </numRef>
          </val>
        </ser>
        <ser>
          <idx val="364"/>
          <order val="3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Wide'!$AP$22</f>
            </numRef>
          </val>
        </ser>
        <ser>
          <idx val="365"/>
          <order val="3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Wide'!$AQ$22</f>
            </numRef>
          </val>
        </ser>
        <ser>
          <idx val="366"/>
          <order val="3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Wide'!$AR$22</f>
            </numRef>
          </val>
        </ser>
        <ser>
          <idx val="367"/>
          <order val="3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Wide'!$AS$22</f>
            </numRef>
          </val>
        </ser>
        <ser>
          <idx val="368"/>
          <order val="3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Wide'!$AT$22</f>
            </numRef>
          </val>
        </ser>
        <ser>
          <idx val="369"/>
          <order val="3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Wide'!$AU$22</f>
            </numRef>
          </val>
        </ser>
        <ser>
          <idx val="370"/>
          <order val="3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Wide'!$AV$22</f>
            </numRef>
          </val>
        </ser>
        <ser>
          <idx val="371"/>
          <order val="3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Wide'!$AW$22</f>
            </numRef>
          </val>
        </ser>
        <ser>
          <idx val="372"/>
          <order val="3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Wide'!$AX$22</f>
            </numRef>
          </val>
        </ser>
        <ser>
          <idx val="373"/>
          <order val="3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Wide'!$AY$22</f>
            </numRef>
          </val>
        </ser>
        <ser>
          <idx val="374"/>
          <order val="3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Wide'!$AZ$22</f>
            </numRef>
          </val>
        </ser>
        <ser>
          <idx val="375"/>
          <order val="3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Wide'!$BA$22</f>
            </numRef>
          </val>
        </ser>
        <ser>
          <idx val="376"/>
          <order val="3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Wide'!$BB$22</f>
            </numRef>
          </val>
        </ser>
        <ser>
          <idx val="377"/>
          <order val="377"/>
          <tx>
            <strRef>
              <f>'Sectors Wide'!$A$22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Wide'!$BC$22</f>
            </numRef>
          </val>
        </ser>
        <ser>
          <idx val="378"/>
          <order val="3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Wide'!$B$13</f>
            </numRef>
          </val>
        </ser>
        <ser>
          <idx val="379"/>
          <order val="3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Wide'!$C$13</f>
            </numRef>
          </val>
        </ser>
        <ser>
          <idx val="380"/>
          <order val="3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Wide'!$D$13</f>
            </numRef>
          </val>
        </ser>
        <ser>
          <idx val="381"/>
          <order val="3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Wide'!$E$13</f>
            </numRef>
          </val>
        </ser>
        <ser>
          <idx val="382"/>
          <order val="3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Wide'!$F$13</f>
            </numRef>
          </val>
        </ser>
        <ser>
          <idx val="383"/>
          <order val="3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Wide'!$G$13</f>
            </numRef>
          </val>
        </ser>
        <ser>
          <idx val="384"/>
          <order val="3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Wide'!$H$13</f>
            </numRef>
          </val>
        </ser>
        <ser>
          <idx val="385"/>
          <order val="3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Wide'!$I$13</f>
            </numRef>
          </val>
        </ser>
        <ser>
          <idx val="386"/>
          <order val="3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Wide'!$J$13</f>
            </numRef>
          </val>
        </ser>
        <ser>
          <idx val="387"/>
          <order val="3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Wide'!$K$13</f>
            </numRef>
          </val>
        </ser>
        <ser>
          <idx val="388"/>
          <order val="3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Wide'!$L$13</f>
            </numRef>
          </val>
        </ser>
        <ser>
          <idx val="389"/>
          <order val="3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Wide'!$M$13</f>
            </numRef>
          </val>
        </ser>
        <ser>
          <idx val="390"/>
          <order val="3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Wide'!$N$13</f>
            </numRef>
          </val>
        </ser>
        <ser>
          <idx val="391"/>
          <order val="3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Wide'!$O$13</f>
            </numRef>
          </val>
        </ser>
        <ser>
          <idx val="392"/>
          <order val="3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Wide'!$P$13</f>
            </numRef>
          </val>
        </ser>
        <ser>
          <idx val="393"/>
          <order val="3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Wide'!$Q$13</f>
            </numRef>
          </val>
        </ser>
        <ser>
          <idx val="394"/>
          <order val="3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Wide'!$R$13</f>
            </numRef>
          </val>
        </ser>
        <ser>
          <idx val="395"/>
          <order val="3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Wide'!$S$13</f>
            </numRef>
          </val>
        </ser>
        <ser>
          <idx val="396"/>
          <order val="3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Wide'!$T$13</f>
            </numRef>
          </val>
        </ser>
        <ser>
          <idx val="397"/>
          <order val="3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Wide'!$U$13</f>
            </numRef>
          </val>
        </ser>
        <ser>
          <idx val="398"/>
          <order val="3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Wide'!$V$13</f>
            </numRef>
          </val>
        </ser>
        <ser>
          <idx val="399"/>
          <order val="3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Wide'!$W$13</f>
            </numRef>
          </val>
        </ser>
        <ser>
          <idx val="400"/>
          <order val="4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Wide'!$X$13</f>
            </numRef>
          </val>
        </ser>
        <ser>
          <idx val="401"/>
          <order val="4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Wide'!$Y$13</f>
            </numRef>
          </val>
        </ser>
        <ser>
          <idx val="402"/>
          <order val="4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Wide'!$Z$13</f>
            </numRef>
          </val>
        </ser>
        <ser>
          <idx val="403"/>
          <order val="4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Wide'!$AA$13</f>
            </numRef>
          </val>
        </ser>
        <ser>
          <idx val="404"/>
          <order val="4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Wide'!$AB$13</f>
            </numRef>
          </val>
        </ser>
        <ser>
          <idx val="405"/>
          <order val="4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Wide'!$AC$13</f>
            </numRef>
          </val>
        </ser>
        <ser>
          <idx val="406"/>
          <order val="4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Wide'!$AD$13</f>
            </numRef>
          </val>
        </ser>
        <ser>
          <idx val="407"/>
          <order val="4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Wide'!$AE$13</f>
            </numRef>
          </val>
        </ser>
        <ser>
          <idx val="408"/>
          <order val="4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Wide'!$AF$13</f>
            </numRef>
          </val>
        </ser>
        <ser>
          <idx val="409"/>
          <order val="4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Wide'!$AG$13</f>
            </numRef>
          </val>
        </ser>
        <ser>
          <idx val="410"/>
          <order val="4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Wide'!$AH$13</f>
            </numRef>
          </val>
        </ser>
        <ser>
          <idx val="411"/>
          <order val="4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Wide'!$AI$13</f>
            </numRef>
          </val>
        </ser>
        <ser>
          <idx val="412"/>
          <order val="4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Wide'!$AJ$13</f>
            </numRef>
          </val>
        </ser>
        <ser>
          <idx val="413"/>
          <order val="4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Wide'!$AK$13</f>
            </numRef>
          </val>
        </ser>
        <ser>
          <idx val="414"/>
          <order val="4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Wide'!$AL$13</f>
            </numRef>
          </val>
        </ser>
        <ser>
          <idx val="415"/>
          <order val="4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Wide'!$AM$13</f>
            </numRef>
          </val>
        </ser>
        <ser>
          <idx val="416"/>
          <order val="4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Wide'!$AN$13</f>
            </numRef>
          </val>
        </ser>
        <ser>
          <idx val="417"/>
          <order val="4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Wide'!$AO$13</f>
            </numRef>
          </val>
        </ser>
        <ser>
          <idx val="418"/>
          <order val="4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Wide'!$AP$13</f>
            </numRef>
          </val>
        </ser>
        <ser>
          <idx val="419"/>
          <order val="4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Wide'!$AQ$13</f>
            </numRef>
          </val>
        </ser>
        <ser>
          <idx val="420"/>
          <order val="4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Wide'!$AR$13</f>
            </numRef>
          </val>
        </ser>
        <ser>
          <idx val="421"/>
          <order val="4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Wide'!$AS$13</f>
            </numRef>
          </val>
        </ser>
        <ser>
          <idx val="422"/>
          <order val="4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Wide'!$AT$13</f>
            </numRef>
          </val>
        </ser>
        <ser>
          <idx val="423"/>
          <order val="4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Wide'!$AU$13</f>
            </numRef>
          </val>
        </ser>
        <ser>
          <idx val="424"/>
          <order val="4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Wide'!$AV$13</f>
            </numRef>
          </val>
        </ser>
        <ser>
          <idx val="425"/>
          <order val="4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Wide'!$AW$13</f>
            </numRef>
          </val>
        </ser>
        <ser>
          <idx val="426"/>
          <order val="4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Wide'!$AX$13</f>
            </numRef>
          </val>
        </ser>
        <ser>
          <idx val="427"/>
          <order val="4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Wide'!$AY$13</f>
            </numRef>
          </val>
        </ser>
        <ser>
          <idx val="428"/>
          <order val="4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Wide'!$AZ$13</f>
            </numRef>
          </val>
        </ser>
        <ser>
          <idx val="429"/>
          <order val="4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Wide'!$BA$13</f>
            </numRef>
          </val>
        </ser>
        <ser>
          <idx val="430"/>
          <order val="4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Wide'!$BB$13</f>
            </numRef>
          </val>
        </ser>
        <ser>
          <idx val="431"/>
          <order val="431"/>
          <tx>
            <strRef>
              <f>'Sectors Wide'!$A$13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'Sectors Wide'!$B$1:$BC$1</f>
            </numRef>
          </cat>
          <val>
            <numRef>
              <f>'Sectors Wide'!$BC$13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Cr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FPI Equity Net Investment (INR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'Monthly'!$K$26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'Monthly'!$L$26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'Monthly'!$M$26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'Monthly'!$N$26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'Monthly'!$O$26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'Monthly'!$P$26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'Monthly'!$Q$26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'Monthly'!$R$26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'Monthly'!$S$26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'Monthly'!$T$26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'Monthly'!$U$26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'Monthly'!$V$26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'Monthly'!$W$26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'Monthly'!$X$26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'Monthly'!$Y$26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'Monthly'!$Z$26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'Monthly'!$AA$26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'Monthly'!$B$1:$AB$1</f>
            </numRef>
          </cat>
          <val>
            <numRef>
              <f>'Monthly'!$AB$26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OO7</author>
  </authors>
  <commentList>
    <comment ref="BD2" authorId="0" shapeId="0">
      <text>
        <t xml:space="preserve">Auto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56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29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22" displayName="Table22" ref="A1:AT26" headerRowCount="1" totalsRowShown="0" headerRowDxfId="47" dataDxfId="46" dataCellStyle="Comma">
  <autoFilter ref="A1:AT26"/>
  <tableColumns count="46">
    <tableColumn id="1" name="SECTORS" dataDxfId="45"/>
    <tableColumn id="2" name="Net Investment Jul 01-15, 2024" dataDxfId="44" dataCellStyle="Comma"/>
    <tableColumn id="3" name="Net Investment Jul 16-31, 2024" dataDxfId="43" dataCellStyle="Comma"/>
    <tableColumn id="4" name="Net Investment Aug 01-15, 2024" dataDxfId="42" dataCellStyle="Comma"/>
    <tableColumn id="5" name="Net Investment Aug 16-31, 2024" dataDxfId="41" dataCellStyle="Comma"/>
    <tableColumn id="6" name="Net Investment Sep 01-15, 2024" dataDxfId="40" dataCellStyle="Comma"/>
    <tableColumn id="7" name="Net Investment Sep 16-30, 2024" dataDxfId="39" dataCellStyle="Comma"/>
    <tableColumn id="8" name="Net Investment Oct 01-15, 2024" dataDxfId="38" dataCellStyle="Comma"/>
    <tableColumn id="9" name="Net Investment Oct 16-31, 2024" dataDxfId="37" dataCellStyle="Comma"/>
    <tableColumn id="10" name="Net Investment Nov 01-15, 2024" dataDxfId="36" dataCellStyle="Comma"/>
    <tableColumn id="11" name="Net Investment Nov 16-30, 2024" dataDxfId="35" dataCellStyle="Comma"/>
    <tableColumn id="12" name="Net Investment Dec 01-15, 2024" dataDxfId="34" dataCellStyle="Comma"/>
    <tableColumn id="13" name="Net Investment Dec 16-31, 2024" dataDxfId="33" dataCellStyle="Comma"/>
    <tableColumn id="14" name="Net Investment Jan 01-15, 2025" dataDxfId="32" dataCellStyle="Comma"/>
    <tableColumn id="15" name="Net Investment Jan 16-31, 2025" dataDxfId="31" dataCellStyle="Comma"/>
    <tableColumn id="16" name="Net Investment Feb 01-15, 2025" dataDxfId="30" dataCellStyle="Comma"/>
    <tableColumn id="17" name="Net Investment Feb 16-28, 2025" dataDxfId="29" dataCellStyle="Comma"/>
    <tableColumn id="18" name="Net Investment Mar 01-15, 2025" dataDxfId="28" dataCellStyle="Comma"/>
    <tableColumn id="19" name="Net Investment Mar 16-31, 2025" dataDxfId="27" dataCellStyle="Comma"/>
    <tableColumn id="20" name="Net Investment Apr 01-15, 2025" dataDxfId="26" dataCellStyle="Comma"/>
    <tableColumn id="21" name="Net Investment Apr 16-30, 2025" dataDxfId="25" dataCellStyle="Comma"/>
    <tableColumn id="22" name="Net Investment May 01-15, 2025" dataDxfId="24" dataCellStyle="Comma"/>
    <tableColumn id="23" name="Net Investment May 16-31, 2025" dataDxfId="23" dataCellStyle="Comma"/>
    <tableColumn id="24" name="Net Investment Jun 01-15, 2025" dataDxfId="22" dataCellStyle="Comma"/>
    <tableColumn id="25" name="Net Investment Jun 16-30, 2025" dataDxfId="21" dataCellStyle="Comma"/>
    <tableColumn id="26" name="Net Investment Jul 01-15, 2025" dataDxfId="20" dataCellStyle="Comma"/>
    <tableColumn id="27" name="Net Investment Jul 16-31, 2025" dataDxfId="19" dataCellStyle="Comma"/>
    <tableColumn id="28" name="Net Investment Aug 01-15, 2025" dataDxfId="18" dataCellStyle="Comma"/>
    <tableColumn id="29" name="Net Investment Aug 16-31, 2025" dataDxfId="17" dataCellStyle="Comma"/>
    <tableColumn id="30" name="Net Investment Sep 01-15, 2025" dataDxfId="16" dataCellStyle="Comma"/>
    <tableColumn id="31" name="Net Investment Sep 16-30, 2025" dataDxfId="15" dataCellStyle="Comma"/>
    <tableColumn id="32" name="Net Investment_x000a_Oct 01-15, 2025" dataDxfId="14" dataCellStyle="Comma"/>
    <tableColumn id="33" name="Net Investment_x000a_Oct 16-31, 2025" dataDxfId="13" dataCellStyle="Comma"/>
    <tableColumn id="34" name="Net Investment_x000a_Nov 01-15, 2025" dataDxfId="12" dataCellStyle="Comma"/>
    <tableColumn id="35" name="Net Investment_x000a_Nov 16-30, 2025" dataDxfId="11" dataCellStyle="Comma"/>
    <tableColumn id="36" name="Net Investment_x000a_Dec 01-15, 2025" dataDxfId="10" dataCellStyle="Comma"/>
    <tableColumn id="37" name="Net Investment_x000a_Dec 16-31, 2025" dataDxfId="9" dataCellStyle="Comma"/>
    <tableColumn id="38" name="Net Investment_x000a_Jan 01-15, 2026" dataDxfId="8" dataCellStyle="Comma"/>
    <tableColumn id="39" name="Net Investment_x000a_Jan 16-31, 2026" dataDxfId="7" dataCellStyle="Comma"/>
    <tableColumn id="40" name="Net Investment_x000a_Feb 01-15, 2026" dataDxfId="6" dataCellStyle="Comma"/>
    <tableColumn id="41" name="Net Investment_x000a_Feb 16-28, 2026" dataDxfId="5" dataCellStyle="Comma"/>
    <tableColumn id="42" name="Net Investment_x000a_March 01-15, 2026" dataDxfId="4" dataCellStyle="Comma"/>
    <tableColumn id="43" name="Net Investment_x000a_March 16-31, 2026" dataDxfId="3" dataCellStyle="Comma"/>
    <tableColumn id="44" name="Net Investment_x000a_April 01-15, 2026" dataDxfId="2" dataCellStyle="Comma"/>
    <tableColumn id="45" name="Net Investment_x000a_April 16-30, 2026" dataDxfId="1" dataCellStyle="Comma"/>
    <tableColumn id="46" name="Net Investment_x000a_May 01-15, 2026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E24" sqref="E24"/>
    </sheetView>
  </sheetViews>
  <sheetFormatPr baseColWidth="8" defaultRowHeight="15"/>
  <cols>
    <col width="11.42578125" bestFit="1" customWidth="1" style="30" min="1" max="1"/>
    <col width="32.7109375" bestFit="1" customWidth="1" style="30" min="2" max="2"/>
    <col width="29.28515625" bestFit="1" customWidth="1" style="30" min="3" max="3"/>
    <col width="28.7109375" bestFit="1" customWidth="1" style="30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Column27</t>
        </is>
      </c>
      <c r="D1" t="inlineStr">
        <is>
          <t>Column51</t>
        </is>
      </c>
    </row>
    <row r="2">
      <c r="C2" t="inlineStr">
        <is>
          <t>Net Investment April 16-30, 2026</t>
        </is>
      </c>
      <c r="D2" t="inlineStr">
        <is>
          <t>Net Investment May 01-15, 2026</t>
        </is>
      </c>
    </row>
    <row r="3">
      <c r="C3" t="inlineStr">
        <is>
          <t>IN INR Cr.</t>
        </is>
      </c>
      <c r="D3" t="inlineStr">
        <is>
          <t>IN INR Cr.</t>
        </is>
      </c>
    </row>
    <row r="4">
      <c r="C4" t="inlineStr">
        <is>
          <t>Equity</t>
        </is>
      </c>
      <c r="D4" t="inlineStr">
        <is>
          <t>Equity</t>
        </is>
      </c>
    </row>
    <row r="5">
      <c r="A5" t="inlineStr">
        <is>
          <t>Sr. No.</t>
        </is>
      </c>
      <c r="B5" t="inlineStr">
        <is>
          <t>Sectors</t>
        </is>
      </c>
      <c r="C5" t="inlineStr">
        <is>
          <t>Equity</t>
        </is>
      </c>
      <c r="D5" t="inlineStr">
        <is>
          <t>Equity</t>
        </is>
      </c>
    </row>
    <row r="6">
      <c r="A6" t="inlineStr">
        <is>
          <t>1</t>
        </is>
      </c>
      <c r="B6" t="inlineStr">
        <is>
          <t>Automobile and Auto Components</t>
        </is>
      </c>
      <c r="C6" s="31" t="n">
        <v>-1775</v>
      </c>
      <c r="D6" t="n">
        <v>-357</v>
      </c>
    </row>
    <row r="7">
      <c r="A7" t="inlineStr">
        <is>
          <t>2</t>
        </is>
      </c>
      <c r="B7" t="inlineStr">
        <is>
          <t>Capital Goods</t>
        </is>
      </c>
      <c r="C7" s="31" t="n">
        <v>4667</v>
      </c>
      <c r="D7" s="31" t="n">
        <v>2645</v>
      </c>
    </row>
    <row r="8">
      <c r="A8" t="inlineStr">
        <is>
          <t>3</t>
        </is>
      </c>
      <c r="B8" t="inlineStr">
        <is>
          <t>Chemicals</t>
        </is>
      </c>
      <c r="C8" t="n">
        <v>-121</v>
      </c>
      <c r="D8" t="n">
        <v>-700</v>
      </c>
    </row>
    <row r="9">
      <c r="A9" t="inlineStr">
        <is>
          <t>4</t>
        </is>
      </c>
      <c r="B9" t="inlineStr">
        <is>
          <t>Construction</t>
        </is>
      </c>
      <c r="C9" s="31" t="n">
        <v>2199</v>
      </c>
      <c r="D9" t="n">
        <v>-991</v>
      </c>
    </row>
    <row r="10">
      <c r="A10" t="inlineStr">
        <is>
          <t>5</t>
        </is>
      </c>
      <c r="B10" t="inlineStr">
        <is>
          <t>Construction Materials</t>
        </is>
      </c>
      <c r="C10" t="n">
        <v>-670</v>
      </c>
      <c r="D10" s="31" t="n">
        <v>-1207</v>
      </c>
    </row>
    <row r="11">
      <c r="A11" t="inlineStr">
        <is>
          <t>6</t>
        </is>
      </c>
      <c r="B11" t="inlineStr">
        <is>
          <t>Consumer Durables</t>
        </is>
      </c>
      <c r="C11" t="n">
        <v>441</v>
      </c>
      <c r="D11" s="31" t="n">
        <v>-1162</v>
      </c>
    </row>
    <row r="12">
      <c r="A12" t="inlineStr">
        <is>
          <t>7</t>
        </is>
      </c>
      <c r="B12" t="inlineStr">
        <is>
          <t>Consumer Services</t>
        </is>
      </c>
      <c r="C12" s="31" t="n">
        <v>-2434</v>
      </c>
      <c r="D12" t="n">
        <v>-365</v>
      </c>
    </row>
    <row r="13">
      <c r="A13" t="inlineStr">
        <is>
          <t>8</t>
        </is>
      </c>
      <c r="B13" t="inlineStr">
        <is>
          <t>Diversified</t>
        </is>
      </c>
      <c r="C13" t="n">
        <v>3</v>
      </c>
      <c r="D13" t="n">
        <v>33</v>
      </c>
    </row>
    <row r="14">
      <c r="A14" t="inlineStr">
        <is>
          <t>9</t>
        </is>
      </c>
      <c r="B14" t="inlineStr">
        <is>
          <t>Fast Moving Consumer Goods</t>
        </is>
      </c>
      <c r="C14" t="n">
        <v>-229</v>
      </c>
      <c r="D14" s="31" t="n">
        <v>-1625</v>
      </c>
    </row>
    <row r="15">
      <c r="A15" t="inlineStr">
        <is>
          <t>10</t>
        </is>
      </c>
      <c r="B15" t="inlineStr">
        <is>
          <t>Financial Services</t>
        </is>
      </c>
      <c r="C15" s="31" t="n">
        <v>-11704</v>
      </c>
      <c r="D15" s="31" t="n">
        <v>-17960</v>
      </c>
    </row>
    <row r="16">
      <c r="A16" t="inlineStr">
        <is>
          <t>11</t>
        </is>
      </c>
      <c r="B16" t="inlineStr">
        <is>
          <t>Forest Materials</t>
        </is>
      </c>
      <c r="C16" t="n">
        <v>73</v>
      </c>
      <c r="D16" t="n">
        <v>-41</v>
      </c>
    </row>
    <row r="17">
      <c r="A17" t="inlineStr">
        <is>
          <t>12</t>
        </is>
      </c>
      <c r="B17" t="inlineStr">
        <is>
          <t>Healthcare</t>
        </is>
      </c>
      <c r="C17" s="31" t="n">
        <v>-2445</v>
      </c>
      <c r="D17" t="n">
        <v>-418</v>
      </c>
    </row>
    <row r="18">
      <c r="A18" t="inlineStr">
        <is>
          <t>13</t>
        </is>
      </c>
      <c r="B18" t="inlineStr">
        <is>
          <t>Information Technology</t>
        </is>
      </c>
      <c r="C18" s="31" t="n">
        <v>-2887</v>
      </c>
      <c r="D18" s="31" t="n">
        <v>-1643</v>
      </c>
    </row>
    <row r="19">
      <c r="A19" t="inlineStr">
        <is>
          <t>14</t>
        </is>
      </c>
      <c r="B19" t="inlineStr">
        <is>
          <t>Media, Entertainment &amp; Publication</t>
        </is>
      </c>
      <c r="C19" t="n">
        <v>-149</v>
      </c>
      <c r="D19" t="n">
        <v>-12</v>
      </c>
    </row>
    <row r="20">
      <c r="A20" t="inlineStr">
        <is>
          <t>15</t>
        </is>
      </c>
      <c r="B20" t="inlineStr">
        <is>
          <t>Metals &amp; Mining</t>
        </is>
      </c>
      <c r="C20" s="31" t="n">
        <v>2416</v>
      </c>
      <c r="D20" s="31" t="n">
        <v>1698</v>
      </c>
    </row>
    <row r="21">
      <c r="A21" t="inlineStr">
        <is>
          <t>16</t>
        </is>
      </c>
      <c r="B21" t="inlineStr">
        <is>
          <t>Oil, Gas &amp; Consumable Fuels</t>
        </is>
      </c>
      <c r="C21" s="31" t="n">
        <v>-3351</v>
      </c>
      <c r="D21" s="31" t="n">
        <v>-6885</v>
      </c>
    </row>
    <row r="22">
      <c r="A22" t="inlineStr">
        <is>
          <t>17</t>
        </is>
      </c>
      <c r="B22" t="inlineStr">
        <is>
          <t>Power</t>
        </is>
      </c>
      <c r="C22" s="31" t="n">
        <v>4956</v>
      </c>
      <c r="D22" s="31" t="n">
        <v>-1157</v>
      </c>
    </row>
    <row r="23">
      <c r="A23" t="inlineStr">
        <is>
          <t>18</t>
        </is>
      </c>
      <c r="B23" t="inlineStr">
        <is>
          <t>Realty</t>
        </is>
      </c>
      <c r="C23" t="n">
        <v>-206</v>
      </c>
      <c r="D23" t="n">
        <v>-430</v>
      </c>
    </row>
    <row r="24">
      <c r="A24" t="inlineStr">
        <is>
          <t>19</t>
        </is>
      </c>
      <c r="B24" t="inlineStr">
        <is>
          <t>Services</t>
        </is>
      </c>
      <c r="C24" t="n">
        <v>-362</v>
      </c>
      <c r="D24" s="31" t="n">
        <v>7019</v>
      </c>
    </row>
    <row r="25">
      <c r="A25" t="inlineStr">
        <is>
          <t>20</t>
        </is>
      </c>
      <c r="B25" t="inlineStr">
        <is>
          <t>Telecommunication</t>
        </is>
      </c>
      <c r="C25" s="31" t="n">
        <v>-1908</v>
      </c>
      <c r="D25" s="31" t="n">
        <v>-2542</v>
      </c>
    </row>
    <row r="26">
      <c r="A26" t="inlineStr">
        <is>
          <t>21</t>
        </is>
      </c>
      <c r="B26" t="inlineStr">
        <is>
          <t>Textiles</t>
        </is>
      </c>
      <c r="C26" t="n">
        <v>-48</v>
      </c>
      <c r="D26" t="n">
        <v>-112</v>
      </c>
    </row>
    <row r="27">
      <c r="A27" t="inlineStr">
        <is>
          <t>22</t>
        </is>
      </c>
      <c r="B27" t="inlineStr">
        <is>
          <t>Utilities</t>
        </is>
      </c>
      <c r="C27" t="n">
        <v>-12</v>
      </c>
      <c r="D27" t="n">
        <v>-28</v>
      </c>
    </row>
    <row r="28">
      <c r="A28" t="inlineStr">
        <is>
          <t>23</t>
        </is>
      </c>
      <c r="B28" t="inlineStr">
        <is>
          <t>Sovereign</t>
        </is>
      </c>
      <c r="C28" t="n">
        <v>0</v>
      </c>
      <c r="D28" t="n">
        <v>0</v>
      </c>
    </row>
    <row r="29">
      <c r="A29" t="inlineStr">
        <is>
          <t>24</t>
        </is>
      </c>
      <c r="B29" t="inlineStr">
        <is>
          <t>Others</t>
        </is>
      </c>
      <c r="C29" t="n">
        <v>837</v>
      </c>
      <c r="D29" t="n">
        <v>-808</v>
      </c>
    </row>
    <row r="30">
      <c r="B30" t="inlineStr">
        <is>
          <t>Grand Total</t>
        </is>
      </c>
      <c r="C30" s="31" t="n">
        <v>-12708</v>
      </c>
      <c r="D30" s="31" t="n">
        <v>-27048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28"/>
  <sheetViews>
    <sheetView topLeftCell="BM1" workbookViewId="0">
      <selection activeCell="CA4" sqref="CA4:CC28"/>
    </sheetView>
  </sheetViews>
  <sheetFormatPr baseColWidth="8" defaultColWidth="14.5703125" defaultRowHeight="15"/>
  <cols>
    <col width="6.85546875" bestFit="1" customWidth="1" style="3" min="1" max="1"/>
    <col width="32.7109375" bestFit="1" customWidth="1" style="2" min="2" max="2"/>
    <col width="14.140625" bestFit="1" customWidth="1" style="4" min="3" max="5"/>
    <col width="14.5703125" customWidth="1" style="4" min="6" max="9"/>
    <col width="14.42578125" bestFit="1" customWidth="1" style="4" min="10" max="13"/>
    <col width="14.28515625" bestFit="1" customWidth="1" style="4" min="14" max="17"/>
    <col width="14.140625" bestFit="1" customWidth="1" style="4" min="18" max="21"/>
    <col width="14.5703125" customWidth="1" style="4" min="22" max="25"/>
    <col width="14.28515625" bestFit="1" customWidth="1" style="4" min="26" max="29"/>
    <col width="14.42578125" bestFit="1" customWidth="1" style="4" min="30" max="33"/>
    <col width="14.140625" bestFit="1" customWidth="1" style="4" min="34" max="37"/>
    <col width="14.28515625" bestFit="1" customWidth="1" style="4" min="38" max="41"/>
    <col width="14.140625" bestFit="1" customWidth="1" style="4" min="42" max="45"/>
    <col width="14.28515625" bestFit="1" customWidth="1" style="4" min="46" max="49"/>
    <col width="14.140625" bestFit="1" customWidth="1" style="4" min="50" max="52"/>
    <col width="14.140625" bestFit="1" customWidth="1" style="5" min="53" max="53"/>
    <col width="14.5703125" customWidth="1" style="5" min="54" max="57"/>
    <col width="14.42578125" bestFit="1" customWidth="1" style="5" min="58" max="61"/>
    <col width="14.28515625" bestFit="1" customWidth="1" style="5" min="62" max="63"/>
    <col width="14.28515625" bestFit="1" customWidth="1" style="4" min="64" max="65"/>
    <col width="14.140625" bestFit="1" customWidth="1" style="4" min="66" max="69"/>
    <col width="14.5703125" customWidth="1" style="4" min="70" max="70"/>
    <col width="14.140625" bestFit="1" customWidth="1" style="4" min="71" max="74"/>
    <col width="14.42578125" bestFit="1" customWidth="1" style="4" min="75" max="75"/>
    <col width="14.5703125" customWidth="1" style="4" min="76" max="76"/>
    <col width="14.5703125" customWidth="1" style="4" min="77" max="16384"/>
  </cols>
  <sheetData>
    <row r="1" ht="45" customHeight="1" s="30">
      <c r="A1" s="5" t="n"/>
      <c r="B1" s="5" t="n"/>
      <c r="C1" s="5" t="inlineStr">
        <is>
          <t>Net Investment Jul 01-15, 2024</t>
        </is>
      </c>
      <c r="D1" s="5" t="inlineStr">
        <is>
          <t>Net Investment Jul 16-31, 2024</t>
        </is>
      </c>
      <c r="E1" s="5" t="inlineStr">
        <is>
          <t>Net Investment Jul 16-31, 2024</t>
        </is>
      </c>
      <c r="F1" s="5" t="inlineStr">
        <is>
          <t>Net Investment Aug 01-15, 2024</t>
        </is>
      </c>
      <c r="G1" s="5" t="inlineStr">
        <is>
          <t>Net Investment Aug 01-15, 2024</t>
        </is>
      </c>
      <c r="H1" s="5" t="inlineStr">
        <is>
          <t>Net Investment Aug 16-31, 2024</t>
        </is>
      </c>
      <c r="I1" s="5" t="inlineStr">
        <is>
          <t>Net Investment Aug 16-31, 2024</t>
        </is>
      </c>
      <c r="J1" s="5" t="inlineStr">
        <is>
          <t>Net Investment Sep 01-15, 2024</t>
        </is>
      </c>
      <c r="K1" s="5" t="inlineStr">
        <is>
          <t>Net Investment Sep 01-15, 2024</t>
        </is>
      </c>
      <c r="L1" s="5" t="inlineStr">
        <is>
          <t>Net Investment Sep 16-30, 2024</t>
        </is>
      </c>
      <c r="M1" s="5" t="inlineStr">
        <is>
          <t>Net Investment Sep 16-30, 2024</t>
        </is>
      </c>
      <c r="N1" s="5" t="inlineStr">
        <is>
          <t>Net Investment Oct 01-15, 2024</t>
        </is>
      </c>
      <c r="O1" s="5" t="inlineStr">
        <is>
          <t>Net Investment Oct 01-15, 2024</t>
        </is>
      </c>
      <c r="P1" s="5" t="inlineStr">
        <is>
          <t>Net Investment Oct 16-31, 2024</t>
        </is>
      </c>
      <c r="Q1" s="5" t="inlineStr">
        <is>
          <t>Net Investment Oct 16-31, 2024</t>
        </is>
      </c>
      <c r="R1" s="5" t="inlineStr">
        <is>
          <t>Net Investment Nov 01-15, 2024</t>
        </is>
      </c>
      <c r="S1" s="5" t="inlineStr">
        <is>
          <t>Net Investment Nov 01-15, 2024</t>
        </is>
      </c>
      <c r="T1" s="5" t="inlineStr">
        <is>
          <t>Net Investment Nov 16-30, 2024</t>
        </is>
      </c>
      <c r="U1" s="5" t="inlineStr">
        <is>
          <t>Net Investment Nov 16-30, 2024</t>
        </is>
      </c>
      <c r="V1" s="5" t="inlineStr">
        <is>
          <t>Net Investment Dec 01-15, 2024</t>
        </is>
      </c>
      <c r="W1" s="5" t="inlineStr">
        <is>
          <t>Net Investment Dec 01-15, 2024</t>
        </is>
      </c>
      <c r="X1" s="5" t="inlineStr">
        <is>
          <t>Net Investment Dec 16-31, 2024</t>
        </is>
      </c>
      <c r="Y1" s="5" t="inlineStr">
        <is>
          <t>Net Investment Dec 16-31, 2024</t>
        </is>
      </c>
      <c r="Z1" s="5" t="inlineStr">
        <is>
          <t>Net Investment Jan 01-15, 2025</t>
        </is>
      </c>
      <c r="AA1" s="5" t="inlineStr">
        <is>
          <t>Net Investment Jan 01-15, 2025</t>
        </is>
      </c>
      <c r="AB1" s="5" t="inlineStr">
        <is>
          <t>Net Investment Jan 16-31, 2025</t>
        </is>
      </c>
      <c r="AC1" s="5" t="inlineStr">
        <is>
          <t>Net Investment Jan 16-31, 2025</t>
        </is>
      </c>
      <c r="AD1" s="5" t="inlineStr">
        <is>
          <t>Net Investment Feb 01-15, 2025</t>
        </is>
      </c>
      <c r="AE1" s="5" t="inlineStr">
        <is>
          <t>Net Investment Feb 01-15, 2025</t>
        </is>
      </c>
      <c r="AF1" s="5" t="inlineStr">
        <is>
          <t>Net Investment Feb 16-28, 2025</t>
        </is>
      </c>
      <c r="AG1" s="5" t="inlineStr">
        <is>
          <t>Net Investment Feb 16-28, 2025</t>
        </is>
      </c>
      <c r="AH1" s="5" t="inlineStr">
        <is>
          <t>Net Investment Mar 01-15, 2025</t>
        </is>
      </c>
      <c r="AI1" s="5" t="inlineStr">
        <is>
          <t>Net Investment Mar 01-15, 2025</t>
        </is>
      </c>
      <c r="AJ1" s="5" t="inlineStr">
        <is>
          <t>Net Investment Mar 16-31, 2025</t>
        </is>
      </c>
      <c r="AK1" s="5" t="inlineStr">
        <is>
          <t>Net Investment Mar 16-31, 2025</t>
        </is>
      </c>
      <c r="AL1" s="5" t="inlineStr">
        <is>
          <t>Net Investment Apr 01-15, 2025</t>
        </is>
      </c>
      <c r="AM1" s="5" t="inlineStr">
        <is>
          <t>Net Investment Apr 01-15, 2025</t>
        </is>
      </c>
      <c r="AN1" s="5" t="inlineStr">
        <is>
          <t>Net Investment Apr 16-30, 2025</t>
        </is>
      </c>
      <c r="AO1" s="5" t="inlineStr">
        <is>
          <t>Net Investment Apr 16-30, 2025</t>
        </is>
      </c>
      <c r="AP1" s="5" t="inlineStr">
        <is>
          <t>Net Investment May 01-15, 2025</t>
        </is>
      </c>
      <c r="AQ1" s="5" t="inlineStr">
        <is>
          <t>Net Investment May 01-15, 2025</t>
        </is>
      </c>
      <c r="AR1" s="5" t="inlineStr">
        <is>
          <t>Net Investment May 16-31, 2025</t>
        </is>
      </c>
      <c r="AS1" s="5" t="inlineStr">
        <is>
          <t>Net Investment May 16-31, 2025</t>
        </is>
      </c>
      <c r="AT1" s="5" t="inlineStr">
        <is>
          <t>Net Investment Jun 01-15, 2025</t>
        </is>
      </c>
      <c r="AU1" s="5" t="inlineStr">
        <is>
          <t>Net Investment Jun 01-15, 2025</t>
        </is>
      </c>
      <c r="AV1" s="5" t="inlineStr">
        <is>
          <t>Net Investment Jun 16-30, 2025</t>
        </is>
      </c>
      <c r="AW1" s="5" t="inlineStr">
        <is>
          <t>Net Investment Jun 16-30, 2025</t>
        </is>
      </c>
      <c r="AX1" s="5" t="inlineStr">
        <is>
          <t>Net Investment Jul 01-15, 2025</t>
        </is>
      </c>
      <c r="AY1" s="5" t="inlineStr">
        <is>
          <t>Net Investment Jul 01-15, 2025</t>
        </is>
      </c>
      <c r="AZ1" s="5" t="inlineStr">
        <is>
          <t>Net Investment Jul 16-31, 2025</t>
        </is>
      </c>
      <c r="BA1" s="5" t="inlineStr">
        <is>
          <t>Net Investment Jul 16-31, 2025</t>
        </is>
      </c>
      <c r="BB1" s="5" t="inlineStr">
        <is>
          <t>Net Investment Aug 01-15, 2025</t>
        </is>
      </c>
      <c r="BC1" s="5" t="inlineStr">
        <is>
          <t>Net Investment Aug 01-15, 2025</t>
        </is>
      </c>
      <c r="BD1" s="5" t="inlineStr">
        <is>
          <t>Net Investment Aug 16-31, 2025</t>
        </is>
      </c>
      <c r="BE1" s="5" t="inlineStr">
        <is>
          <t>Net Investment Aug 16-31, 2025</t>
        </is>
      </c>
      <c r="BF1" s="5" t="inlineStr">
        <is>
          <t>Net Investment Sep 01-15, 2025</t>
        </is>
      </c>
      <c r="BG1" s="5" t="inlineStr">
        <is>
          <t>Net Investment Sep 01-15, 2025</t>
        </is>
      </c>
      <c r="BH1" s="5" t="inlineStr">
        <is>
          <t>Net Investment Sep 16-30, 2025</t>
        </is>
      </c>
      <c r="BI1" s="5" t="inlineStr">
        <is>
          <t>Net Investment Sep 16-30, 2025</t>
        </is>
      </c>
      <c r="BJ1" s="5" t="inlineStr">
        <is>
          <t>Net Investment Oct 01-15, 2025</t>
        </is>
      </c>
      <c r="BK1" s="5" t="inlineStr">
        <is>
          <t>Net Investment Oct 01-15, 2025</t>
        </is>
      </c>
      <c r="BL1" s="5" t="inlineStr">
        <is>
          <t>Net Investment Oct 16-31, 2025</t>
        </is>
      </c>
      <c r="BM1" s="5" t="inlineStr">
        <is>
          <t>Net Investment Oct 16-31, 2025</t>
        </is>
      </c>
      <c r="BN1" s="5" t="inlineStr">
        <is>
          <t>Net Investment Nov 01-15, 2025</t>
        </is>
      </c>
      <c r="BO1" s="5" t="inlineStr">
        <is>
          <t>Net Investment Nov 01-15, 2025</t>
        </is>
      </c>
      <c r="BP1" s="5" t="inlineStr">
        <is>
          <t>Net Investment Nov 16-30, 2025</t>
        </is>
      </c>
      <c r="BQ1" s="5" t="inlineStr">
        <is>
          <t>Net Investment Nov 16-30, 2025</t>
        </is>
      </c>
      <c r="BR1" s="5" t="inlineStr">
        <is>
          <t>Net Investment Dec 01-15, 2025</t>
        </is>
      </c>
      <c r="BS1" s="5" t="inlineStr">
        <is>
          <t>Net Investment December 01-15, 2025</t>
        </is>
      </c>
      <c r="BT1" s="5" t="inlineStr">
        <is>
          <t>Net Investment December 16-31, 2025</t>
        </is>
      </c>
      <c r="BU1" s="5" t="inlineStr">
        <is>
          <t>Net Investment January 01-15, 2026</t>
        </is>
      </c>
      <c r="BV1" s="5" t="inlineStr">
        <is>
          <t>Net Investment January 16-31, 2026</t>
        </is>
      </c>
      <c r="BW1" s="5" t="inlineStr">
        <is>
          <t>Net Investment Feb 01-15, 2026</t>
        </is>
      </c>
      <c r="BX1" s="5" t="inlineStr">
        <is>
          <t>Net Investment February 16-28, 2026</t>
        </is>
      </c>
      <c r="BY1" s="5" t="inlineStr">
        <is>
          <t>Net Investment March 01-15, 2026</t>
        </is>
      </c>
      <c r="BZ1" s="5" t="inlineStr">
        <is>
          <t>Net Investment March 16-31, 2026</t>
        </is>
      </c>
      <c r="CA1" s="5" t="inlineStr">
        <is>
          <t>Net Investment April 01-15, 2026</t>
        </is>
      </c>
      <c r="CB1" s="5" t="inlineStr">
        <is>
          <t>Net Investment April 16-30, 2026</t>
        </is>
      </c>
      <c r="CC1" s="5" t="inlineStr">
        <is>
          <t>Net Investment May 01-15, 2026</t>
        </is>
      </c>
    </row>
    <row r="2">
      <c r="A2" s="5" t="n"/>
      <c r="B2" s="5" t="n"/>
      <c r="C2" s="5" t="inlineStr">
        <is>
          <t>IN INR Cr.</t>
        </is>
      </c>
      <c r="D2" s="5" t="inlineStr">
        <is>
          <t>IN INR Cr.</t>
        </is>
      </c>
      <c r="E2" s="5" t="inlineStr">
        <is>
          <t>IN INR Cr.</t>
        </is>
      </c>
      <c r="F2" s="5" t="inlineStr">
        <is>
          <t>IN INR Cr.</t>
        </is>
      </c>
      <c r="G2" s="5" t="inlineStr">
        <is>
          <t>IN INR Cr.</t>
        </is>
      </c>
      <c r="H2" s="5" t="inlineStr">
        <is>
          <t>IN INR Cr.</t>
        </is>
      </c>
      <c r="I2" s="5" t="inlineStr">
        <is>
          <t>IN INR Cr.</t>
        </is>
      </c>
      <c r="J2" s="5" t="inlineStr">
        <is>
          <t>IN INR Cr.</t>
        </is>
      </c>
      <c r="K2" s="5" t="inlineStr">
        <is>
          <t>IN INR Cr.</t>
        </is>
      </c>
      <c r="L2" s="5" t="inlineStr">
        <is>
          <t>IN INR Cr.</t>
        </is>
      </c>
      <c r="M2" s="5" t="inlineStr">
        <is>
          <t>IN INR Cr.</t>
        </is>
      </c>
      <c r="N2" s="5" t="inlineStr">
        <is>
          <t>IN INR Cr.</t>
        </is>
      </c>
      <c r="O2" s="5" t="inlineStr">
        <is>
          <t>IN INR Cr.</t>
        </is>
      </c>
      <c r="P2" s="5" t="inlineStr">
        <is>
          <t>IN INR Cr.</t>
        </is>
      </c>
      <c r="Q2" s="5" t="inlineStr">
        <is>
          <t>IN INR Cr.</t>
        </is>
      </c>
      <c r="R2" s="5" t="inlineStr">
        <is>
          <t>IN INR Cr.</t>
        </is>
      </c>
      <c r="S2" s="5" t="inlineStr">
        <is>
          <t>IN INR Cr.</t>
        </is>
      </c>
      <c r="T2" s="5" t="inlineStr">
        <is>
          <t>IN INR Cr.</t>
        </is>
      </c>
      <c r="U2" s="5" t="inlineStr">
        <is>
          <t>IN INR Cr.</t>
        </is>
      </c>
      <c r="V2" s="5" t="inlineStr">
        <is>
          <t>IN INR Cr.</t>
        </is>
      </c>
      <c r="W2" s="5" t="inlineStr">
        <is>
          <t>IN INR Cr.</t>
        </is>
      </c>
      <c r="X2" s="5" t="inlineStr">
        <is>
          <t>IN INR Cr.</t>
        </is>
      </c>
      <c r="Y2" s="5" t="inlineStr">
        <is>
          <t>IN INR Cr.</t>
        </is>
      </c>
      <c r="Z2" s="5" t="inlineStr">
        <is>
          <t>IN INR Cr.</t>
        </is>
      </c>
      <c r="AA2" s="5" t="inlineStr">
        <is>
          <t>IN INR Cr.</t>
        </is>
      </c>
      <c r="AB2" s="5" t="inlineStr">
        <is>
          <t>IN INR Cr.</t>
        </is>
      </c>
      <c r="AC2" s="5" t="inlineStr">
        <is>
          <t>IN INR Cr.</t>
        </is>
      </c>
      <c r="AD2" s="5" t="inlineStr">
        <is>
          <t>IN INR Cr.</t>
        </is>
      </c>
      <c r="AE2" s="5" t="inlineStr">
        <is>
          <t>IN INR Cr.</t>
        </is>
      </c>
      <c r="AF2" s="5" t="inlineStr">
        <is>
          <t>IN INR Cr.</t>
        </is>
      </c>
      <c r="AG2" s="5" t="inlineStr">
        <is>
          <t>IN INR Cr.</t>
        </is>
      </c>
      <c r="AH2" s="5" t="inlineStr">
        <is>
          <t>IN INR Cr.</t>
        </is>
      </c>
      <c r="AI2" s="5" t="inlineStr">
        <is>
          <t>IN INR Cr.</t>
        </is>
      </c>
      <c r="AJ2" s="5" t="inlineStr">
        <is>
          <t>IN INR Cr.</t>
        </is>
      </c>
      <c r="AK2" s="5" t="inlineStr">
        <is>
          <t>IN INR Cr.</t>
        </is>
      </c>
      <c r="AL2" s="5" t="inlineStr">
        <is>
          <t>IN INR Cr.</t>
        </is>
      </c>
      <c r="AM2" s="5" t="inlineStr">
        <is>
          <t>IN INR Cr.</t>
        </is>
      </c>
      <c r="AN2" s="5" t="inlineStr">
        <is>
          <t>IN INR Cr.</t>
        </is>
      </c>
      <c r="AO2" s="5" t="inlineStr">
        <is>
          <t>IN INR Cr.</t>
        </is>
      </c>
      <c r="AP2" s="5" t="inlineStr">
        <is>
          <t>IN INR Cr.</t>
        </is>
      </c>
      <c r="AQ2" s="5" t="inlineStr">
        <is>
          <t>IN INR Cr.</t>
        </is>
      </c>
      <c r="AR2" s="5" t="inlineStr">
        <is>
          <t>IN INR Cr.</t>
        </is>
      </c>
      <c r="AS2" s="5" t="inlineStr">
        <is>
          <t>IN INR Cr.</t>
        </is>
      </c>
      <c r="AT2" s="5" t="inlineStr">
        <is>
          <t>IN INR Cr.</t>
        </is>
      </c>
      <c r="AU2" s="5" t="inlineStr">
        <is>
          <t>IN INR Cr.</t>
        </is>
      </c>
      <c r="AV2" s="5" t="inlineStr">
        <is>
          <t>IN INR Cr.</t>
        </is>
      </c>
      <c r="AW2" s="5" t="inlineStr">
        <is>
          <t>IN INR Cr.</t>
        </is>
      </c>
      <c r="AX2" s="5" t="inlineStr">
        <is>
          <t>IN INR Cr.</t>
        </is>
      </c>
      <c r="AY2" s="5" t="inlineStr">
        <is>
          <t>IN INR Cr.</t>
        </is>
      </c>
      <c r="AZ2" s="5" t="inlineStr">
        <is>
          <t>IN INR Cr.</t>
        </is>
      </c>
      <c r="BA2" s="5" t="inlineStr">
        <is>
          <t>IN INR Cr.</t>
        </is>
      </c>
      <c r="BB2" s="5" t="inlineStr">
        <is>
          <t>IN INR Cr.</t>
        </is>
      </c>
      <c r="BC2" s="5" t="inlineStr">
        <is>
          <t>IN INR Cr.</t>
        </is>
      </c>
      <c r="BD2" s="5" t="inlineStr">
        <is>
          <t>IN INR Cr.</t>
        </is>
      </c>
      <c r="BE2" s="5" t="inlineStr">
        <is>
          <t>IN INR Cr.</t>
        </is>
      </c>
      <c r="BF2" s="5" t="inlineStr">
        <is>
          <t>IN INR Cr.</t>
        </is>
      </c>
      <c r="BG2" s="5" t="inlineStr">
        <is>
          <t>IN INR Cr.</t>
        </is>
      </c>
      <c r="BH2" s="5" t="inlineStr">
        <is>
          <t>IN INR Cr.</t>
        </is>
      </c>
      <c r="BI2" s="5" t="inlineStr">
        <is>
          <t>IN INR Cr.</t>
        </is>
      </c>
      <c r="BJ2" s="5" t="inlineStr">
        <is>
          <t>IN INR Cr.</t>
        </is>
      </c>
      <c r="BK2" s="5" t="inlineStr">
        <is>
          <t>IN INR Cr.</t>
        </is>
      </c>
      <c r="BL2" s="5" t="inlineStr">
        <is>
          <t>IN INR Cr.</t>
        </is>
      </c>
      <c r="BM2" s="5" t="inlineStr">
        <is>
          <t>IN INR Cr.</t>
        </is>
      </c>
      <c r="BN2" s="5" t="inlineStr">
        <is>
          <t>IN INR Cr.</t>
        </is>
      </c>
      <c r="BO2" s="5" t="inlineStr">
        <is>
          <t>IN INR Cr.</t>
        </is>
      </c>
      <c r="BP2" s="5" t="inlineStr">
        <is>
          <t>IN INR Cr.</t>
        </is>
      </c>
      <c r="BQ2" s="5" t="inlineStr">
        <is>
          <t>IN INR Cr.</t>
        </is>
      </c>
      <c r="BR2" s="5" t="inlineStr">
        <is>
          <t>IN INR Cr.</t>
        </is>
      </c>
      <c r="BS2" s="5" t="inlineStr">
        <is>
          <t>IN INR Cr.</t>
        </is>
      </c>
      <c r="BT2" s="5" t="inlineStr">
        <is>
          <t>IN INR Cr.</t>
        </is>
      </c>
      <c r="BU2" s="5" t="inlineStr">
        <is>
          <t>IN INR Cr.</t>
        </is>
      </c>
      <c r="BV2" s="5" t="inlineStr">
        <is>
          <t>IN INR Cr.</t>
        </is>
      </c>
      <c r="BW2" s="5" t="inlineStr">
        <is>
          <t>IN INR Cr.</t>
        </is>
      </c>
      <c r="BX2" s="5" t="inlineStr">
        <is>
          <t>IN INR Cr.</t>
        </is>
      </c>
      <c r="BY2" s="5" t="inlineStr">
        <is>
          <t>IN INR Cr.</t>
        </is>
      </c>
      <c r="BZ2" s="5" t="inlineStr">
        <is>
          <t>IN INR Cr.</t>
        </is>
      </c>
      <c r="CA2" s="5" t="inlineStr">
        <is>
          <t>IN INR Cr.</t>
        </is>
      </c>
      <c r="CB2" s="5" t="inlineStr">
        <is>
          <t>IN INR Cr.</t>
        </is>
      </c>
      <c r="CC2" s="5" t="inlineStr">
        <is>
          <t>IN INR Cr.</t>
        </is>
      </c>
    </row>
    <row r="3">
      <c r="A3" s="5" t="inlineStr">
        <is>
          <t>Sr. No.</t>
        </is>
      </c>
      <c r="B3" s="5" t="inlineStr">
        <is>
          <t>Sectors</t>
        </is>
      </c>
      <c r="C3" s="5" t="inlineStr">
        <is>
          <t>Equity</t>
        </is>
      </c>
      <c r="D3" s="5" t="inlineStr">
        <is>
          <t>Equity</t>
        </is>
      </c>
      <c r="E3" s="5" t="inlineStr">
        <is>
          <t>Equity</t>
        </is>
      </c>
      <c r="F3" s="5" t="inlineStr">
        <is>
          <t>Equity</t>
        </is>
      </c>
      <c r="G3" s="5" t="inlineStr">
        <is>
          <t>Equity</t>
        </is>
      </c>
      <c r="H3" s="5" t="inlineStr">
        <is>
          <t>Equity</t>
        </is>
      </c>
      <c r="I3" s="5" t="inlineStr">
        <is>
          <t>Equity</t>
        </is>
      </c>
      <c r="J3" s="5" t="inlineStr">
        <is>
          <t>Equity</t>
        </is>
      </c>
      <c r="K3" s="5" t="inlineStr">
        <is>
          <t>Equity</t>
        </is>
      </c>
      <c r="L3" s="5" t="inlineStr">
        <is>
          <t>Equity</t>
        </is>
      </c>
      <c r="M3" s="5" t="inlineStr">
        <is>
          <t>Equity</t>
        </is>
      </c>
      <c r="N3" s="5" t="inlineStr">
        <is>
          <t>Equity</t>
        </is>
      </c>
      <c r="O3" s="5" t="inlineStr">
        <is>
          <t>Equity</t>
        </is>
      </c>
      <c r="P3" s="5" t="inlineStr">
        <is>
          <t>Equity</t>
        </is>
      </c>
      <c r="Q3" s="5" t="inlineStr">
        <is>
          <t>Equity</t>
        </is>
      </c>
      <c r="R3" s="5" t="inlineStr">
        <is>
          <t>Equity</t>
        </is>
      </c>
      <c r="S3" s="5" t="inlineStr">
        <is>
          <t>Equity</t>
        </is>
      </c>
      <c r="T3" s="5" t="inlineStr">
        <is>
          <t>Equity</t>
        </is>
      </c>
      <c r="U3" s="5" t="inlineStr">
        <is>
          <t>Equity</t>
        </is>
      </c>
      <c r="V3" s="5" t="inlineStr">
        <is>
          <t>Equity</t>
        </is>
      </c>
      <c r="W3" s="5" t="inlineStr">
        <is>
          <t>Equity</t>
        </is>
      </c>
      <c r="X3" s="5" t="inlineStr">
        <is>
          <t>Equity</t>
        </is>
      </c>
      <c r="Y3" s="5" t="inlineStr">
        <is>
          <t>Equity</t>
        </is>
      </c>
      <c r="Z3" s="5" t="inlineStr">
        <is>
          <t>Equity</t>
        </is>
      </c>
      <c r="AA3" s="5" t="inlineStr">
        <is>
          <t>Equity</t>
        </is>
      </c>
      <c r="AB3" s="5" t="inlineStr">
        <is>
          <t>Equity</t>
        </is>
      </c>
      <c r="AC3" s="5" t="inlineStr">
        <is>
          <t>Equity</t>
        </is>
      </c>
      <c r="AD3" s="5" t="inlineStr">
        <is>
          <t>Equity</t>
        </is>
      </c>
      <c r="AE3" s="5" t="inlineStr">
        <is>
          <t>Equity</t>
        </is>
      </c>
      <c r="AF3" s="5" t="inlineStr">
        <is>
          <t>Equity</t>
        </is>
      </c>
      <c r="AG3" s="5" t="inlineStr">
        <is>
          <t>Equity</t>
        </is>
      </c>
      <c r="AH3" s="5" t="inlineStr">
        <is>
          <t>Equity</t>
        </is>
      </c>
      <c r="AI3" s="5" t="inlineStr">
        <is>
          <t>Equity</t>
        </is>
      </c>
      <c r="AJ3" s="5" t="inlineStr">
        <is>
          <t>Equity</t>
        </is>
      </c>
      <c r="AK3" s="5" t="inlineStr">
        <is>
          <t>Equity</t>
        </is>
      </c>
      <c r="AL3" s="5" t="inlineStr">
        <is>
          <t>Equity</t>
        </is>
      </c>
      <c r="AM3" s="5" t="inlineStr">
        <is>
          <t>Equity</t>
        </is>
      </c>
      <c r="AN3" s="5" t="inlineStr">
        <is>
          <t>Equity</t>
        </is>
      </c>
      <c r="AO3" s="5" t="inlineStr">
        <is>
          <t>Equity</t>
        </is>
      </c>
      <c r="AP3" s="5" t="inlineStr">
        <is>
          <t>Equity</t>
        </is>
      </c>
      <c r="AQ3" s="5" t="inlineStr">
        <is>
          <t>Equity</t>
        </is>
      </c>
      <c r="AR3" s="5" t="inlineStr">
        <is>
          <t>Equity</t>
        </is>
      </c>
      <c r="AS3" s="5" t="inlineStr">
        <is>
          <t>Equity</t>
        </is>
      </c>
      <c r="AT3" s="5" t="inlineStr">
        <is>
          <t>Equity</t>
        </is>
      </c>
      <c r="AU3" s="5" t="inlineStr">
        <is>
          <t>Equity</t>
        </is>
      </c>
      <c r="AV3" s="5" t="inlineStr">
        <is>
          <t>Equity</t>
        </is>
      </c>
      <c r="AW3" s="5" t="inlineStr">
        <is>
          <t>Equity</t>
        </is>
      </c>
      <c r="AX3" s="5" t="inlineStr">
        <is>
          <t>Equity</t>
        </is>
      </c>
      <c r="AY3" s="5" t="inlineStr">
        <is>
          <t>Equity</t>
        </is>
      </c>
      <c r="AZ3" s="5" t="inlineStr">
        <is>
          <t>Equity</t>
        </is>
      </c>
      <c r="BA3" s="5" t="inlineStr">
        <is>
          <t>Equity</t>
        </is>
      </c>
      <c r="BB3" s="5" t="inlineStr">
        <is>
          <t>Equity</t>
        </is>
      </c>
      <c r="BC3" s="5" t="inlineStr">
        <is>
          <t>Equity</t>
        </is>
      </c>
      <c r="BD3" s="5" t="inlineStr">
        <is>
          <t>Equity</t>
        </is>
      </c>
      <c r="BE3" s="5" t="inlineStr">
        <is>
          <t>Equity</t>
        </is>
      </c>
      <c r="BF3" s="5" t="inlineStr">
        <is>
          <t>Equity</t>
        </is>
      </c>
      <c r="BG3" s="5" t="inlineStr">
        <is>
          <t>Equity</t>
        </is>
      </c>
      <c r="BH3" s="5" t="inlineStr">
        <is>
          <t>Equity</t>
        </is>
      </c>
      <c r="BI3" s="5" t="inlineStr">
        <is>
          <t>Equity</t>
        </is>
      </c>
      <c r="BJ3" s="5" t="inlineStr">
        <is>
          <t>Equity</t>
        </is>
      </c>
      <c r="BK3" s="5" t="inlineStr">
        <is>
          <t>Equity</t>
        </is>
      </c>
      <c r="BL3" s="5" t="inlineStr">
        <is>
          <t>Equity</t>
        </is>
      </c>
      <c r="BM3" s="5" t="inlineStr">
        <is>
          <t>Equity</t>
        </is>
      </c>
      <c r="BN3" s="5" t="inlineStr">
        <is>
          <t>Equity</t>
        </is>
      </c>
      <c r="BO3" s="5" t="inlineStr">
        <is>
          <t>Equity</t>
        </is>
      </c>
      <c r="BP3" s="5" t="inlineStr">
        <is>
          <t>Equity</t>
        </is>
      </c>
      <c r="BQ3" s="5" t="inlineStr">
        <is>
          <t>Equity</t>
        </is>
      </c>
      <c r="BR3" s="5" t="inlineStr">
        <is>
          <t>Equity</t>
        </is>
      </c>
      <c r="BS3" s="5" t="inlineStr">
        <is>
          <t>Equity</t>
        </is>
      </c>
      <c r="BT3" s="5" t="inlineStr">
        <is>
          <t>Equity</t>
        </is>
      </c>
      <c r="BU3" s="5" t="inlineStr">
        <is>
          <t>Equity</t>
        </is>
      </c>
      <c r="BV3" s="5" t="inlineStr">
        <is>
          <t>Equity</t>
        </is>
      </c>
      <c r="BW3" s="5" t="inlineStr">
        <is>
          <t>Equity</t>
        </is>
      </c>
      <c r="BX3" s="5" t="inlineStr">
        <is>
          <t>Equity</t>
        </is>
      </c>
      <c r="BY3" s="5" t="inlineStr">
        <is>
          <t>Equity</t>
        </is>
      </c>
      <c r="BZ3" s="5" t="inlineStr">
        <is>
          <t>Equity</t>
        </is>
      </c>
      <c r="CA3" s="5" t="inlineStr">
        <is>
          <t>Equity</t>
        </is>
      </c>
      <c r="CB3" s="5" t="inlineStr">
        <is>
          <t>Equity</t>
        </is>
      </c>
      <c r="CC3" s="5" t="inlineStr">
        <is>
          <t>Equity</t>
        </is>
      </c>
    </row>
    <row r="4">
      <c r="A4" s="3" t="inlineStr">
        <is>
          <t>1</t>
        </is>
      </c>
      <c r="B4" s="2" t="inlineStr">
        <is>
          <t>Automobile and Auto Components</t>
        </is>
      </c>
      <c r="C4" s="32" t="n">
        <v>2993</v>
      </c>
      <c r="D4" s="32" t="n">
        <v>3155</v>
      </c>
      <c r="E4" s="32" t="n">
        <v>3155</v>
      </c>
      <c r="F4" s="32" t="n">
        <v>-1628</v>
      </c>
      <c r="G4" s="32" t="n">
        <v>-1628</v>
      </c>
      <c r="H4" s="32" t="n">
        <v>-751</v>
      </c>
      <c r="I4" s="32" t="n">
        <v>-751</v>
      </c>
      <c r="J4" s="32" t="n">
        <v>-1983</v>
      </c>
      <c r="K4" s="32" t="n">
        <v>-1983</v>
      </c>
      <c r="L4" s="32" t="n">
        <v>-123</v>
      </c>
      <c r="M4" s="32" t="n">
        <v>-123</v>
      </c>
      <c r="N4" s="32" t="n">
        <v>-8131</v>
      </c>
      <c r="O4" s="32" t="n">
        <v>-8131</v>
      </c>
      <c r="P4" s="32" t="n">
        <v>-2309</v>
      </c>
      <c r="Q4" s="32" t="n">
        <v>-2309</v>
      </c>
      <c r="R4" s="32" t="n">
        <v>-4411</v>
      </c>
      <c r="S4" s="32" t="n">
        <v>-4411</v>
      </c>
      <c r="T4" s="32" t="n">
        <v>-3053</v>
      </c>
      <c r="U4" s="32" t="n">
        <v>-3053</v>
      </c>
      <c r="V4" s="32" t="n">
        <v>-1823</v>
      </c>
      <c r="W4" s="32" t="n">
        <v>-1823</v>
      </c>
      <c r="X4" s="32" t="n">
        <v>-2548</v>
      </c>
      <c r="Y4" s="32" t="n">
        <v>-2548</v>
      </c>
      <c r="Z4" s="32" t="n">
        <v>-1924</v>
      </c>
      <c r="AA4" s="32" t="n">
        <v>-1924</v>
      </c>
      <c r="AB4" s="32" t="n">
        <v>-3899</v>
      </c>
      <c r="AC4" s="32" t="n">
        <v>-3899</v>
      </c>
      <c r="AD4" s="32" t="n">
        <v>-690</v>
      </c>
      <c r="AE4" s="32" t="n">
        <v>-690</v>
      </c>
      <c r="AF4" s="32" t="n">
        <v>-3279</v>
      </c>
      <c r="AG4" s="32" t="n">
        <v>-3279</v>
      </c>
      <c r="AH4" s="32" t="n">
        <v>-3640</v>
      </c>
      <c r="AI4" s="32" t="n">
        <v>-3640</v>
      </c>
      <c r="AJ4" s="32" t="n">
        <v>776</v>
      </c>
      <c r="AK4" s="32" t="n">
        <v>776</v>
      </c>
      <c r="AL4" s="32" t="n">
        <v>-2562</v>
      </c>
      <c r="AM4" s="32" t="n">
        <v>-2562</v>
      </c>
      <c r="AN4" s="32" t="n">
        <v>-645</v>
      </c>
      <c r="AO4" s="32" t="n">
        <v>-645</v>
      </c>
      <c r="AP4" s="32" t="n">
        <v>1610</v>
      </c>
      <c r="AQ4" s="32" t="n">
        <v>1610</v>
      </c>
      <c r="AR4" s="32" t="n">
        <v>-1509</v>
      </c>
      <c r="AS4" s="32" t="n">
        <v>-1509</v>
      </c>
      <c r="AT4" s="32" t="n">
        <v>-296</v>
      </c>
      <c r="AU4" s="32" t="n">
        <v>-296</v>
      </c>
      <c r="AV4" s="32" t="n">
        <v>5020</v>
      </c>
      <c r="AW4" s="32" t="n">
        <v>5020</v>
      </c>
      <c r="AX4" s="32" t="n">
        <v>-1159</v>
      </c>
      <c r="AY4" s="32" t="n">
        <v>-1159</v>
      </c>
      <c r="AZ4" s="32" t="n">
        <v>-2425</v>
      </c>
      <c r="BA4" s="33" t="n">
        <v>-2425</v>
      </c>
      <c r="BB4" s="33" t="n">
        <v>-814</v>
      </c>
      <c r="BC4" s="33" t="n">
        <v>-814</v>
      </c>
      <c r="BD4" s="33" t="n">
        <v>2617</v>
      </c>
      <c r="BE4" s="33" t="n">
        <v>2617</v>
      </c>
      <c r="BF4" s="33" t="n">
        <v>1908</v>
      </c>
      <c r="BG4" s="33" t="n">
        <v>1908</v>
      </c>
      <c r="BH4" s="33" t="n">
        <v>1733</v>
      </c>
      <c r="BI4" s="33" t="n">
        <v>1733</v>
      </c>
      <c r="BJ4" s="33" t="n">
        <v>1560</v>
      </c>
      <c r="BK4" s="33" t="n">
        <v>1560</v>
      </c>
      <c r="BL4" s="32" t="n">
        <v>-593</v>
      </c>
      <c r="BM4" s="32" t="n">
        <v>-593</v>
      </c>
      <c r="BN4" s="32" t="n">
        <v>-385</v>
      </c>
      <c r="BO4" s="32" t="n">
        <v>-385</v>
      </c>
      <c r="BP4" s="32" t="n">
        <v>-1257</v>
      </c>
      <c r="BQ4" s="32" t="n">
        <v>-1257</v>
      </c>
      <c r="BR4" s="34" t="n">
        <v>611</v>
      </c>
      <c r="BS4" s="34" t="n">
        <v>611</v>
      </c>
      <c r="BT4" s="34" t="n">
        <v>-2656</v>
      </c>
      <c r="BU4" s="12" t="n">
        <v>-500</v>
      </c>
      <c r="BV4" s="35" t="n">
        <v>-3094</v>
      </c>
      <c r="BW4" s="34" t="n">
        <v>511</v>
      </c>
      <c r="BX4" s="34" t="n">
        <v>3075</v>
      </c>
      <c r="BY4" s="34" t="n">
        <v>-4807</v>
      </c>
      <c r="BZ4" s="34" t="n">
        <v>-7691</v>
      </c>
      <c r="CA4" s="13" t="n">
        <v>-3704</v>
      </c>
      <c r="CB4" s="13" t="n">
        <v>-1775</v>
      </c>
      <c r="CC4" s="14" t="n">
        <v>-357</v>
      </c>
    </row>
    <row r="5">
      <c r="A5" s="3" t="inlineStr">
        <is>
          <t>2</t>
        </is>
      </c>
      <c r="B5" s="2" t="inlineStr">
        <is>
          <t>Capital Goods</t>
        </is>
      </c>
      <c r="C5" s="32" t="n">
        <v>3612</v>
      </c>
      <c r="D5" s="32" t="n">
        <v>1315</v>
      </c>
      <c r="E5" s="32" t="n">
        <v>1315</v>
      </c>
      <c r="F5" s="32" t="n">
        <v>-1089</v>
      </c>
      <c r="G5" s="32" t="n">
        <v>-1089</v>
      </c>
      <c r="H5" s="32" t="n">
        <v>780</v>
      </c>
      <c r="I5" s="32" t="n">
        <v>780</v>
      </c>
      <c r="J5" s="32" t="n">
        <v>1778</v>
      </c>
      <c r="K5" s="32" t="n">
        <v>1778</v>
      </c>
      <c r="L5" s="32" t="n">
        <v>2224</v>
      </c>
      <c r="M5" s="32" t="n">
        <v>2224</v>
      </c>
      <c r="N5" s="32" t="n">
        <v>-853</v>
      </c>
      <c r="O5" s="32" t="n">
        <v>-853</v>
      </c>
      <c r="P5" s="32" t="n">
        <v>-1933</v>
      </c>
      <c r="Q5" s="32" t="n">
        <v>-1933</v>
      </c>
      <c r="R5" s="32" t="n">
        <v>-1004</v>
      </c>
      <c r="S5" s="32" t="n">
        <v>-1004</v>
      </c>
      <c r="T5" s="32" t="n">
        <v>681</v>
      </c>
      <c r="U5" s="32" t="n">
        <v>681</v>
      </c>
      <c r="V5" s="32" t="n">
        <v>2657</v>
      </c>
      <c r="W5" s="32" t="n">
        <v>2657</v>
      </c>
      <c r="X5" s="32" t="n">
        <v>471</v>
      </c>
      <c r="Y5" s="32" t="n">
        <v>471</v>
      </c>
      <c r="Z5" s="32" t="n">
        <v>-2620</v>
      </c>
      <c r="AA5" s="32" t="n">
        <v>-2620</v>
      </c>
      <c r="AB5" s="32" t="n">
        <v>-3077</v>
      </c>
      <c r="AC5" s="32" t="n">
        <v>-3077</v>
      </c>
      <c r="AD5" s="32" t="n">
        <v>-3206</v>
      </c>
      <c r="AE5" s="32" t="n">
        <v>-3206</v>
      </c>
      <c r="AF5" s="32" t="n">
        <v>-1258</v>
      </c>
      <c r="AG5" s="32" t="n">
        <v>-1258</v>
      </c>
      <c r="AH5" s="32" t="n">
        <v>-1912</v>
      </c>
      <c r="AI5" s="32" t="n">
        <v>-1912</v>
      </c>
      <c r="AJ5" s="32" t="n">
        <v>1613</v>
      </c>
      <c r="AK5" s="32" t="n">
        <v>1613</v>
      </c>
      <c r="AL5" s="32" t="n">
        <v>-3019</v>
      </c>
      <c r="AM5" s="32" t="n">
        <v>-3019</v>
      </c>
      <c r="AN5" s="32" t="n">
        <v>2944</v>
      </c>
      <c r="AO5" s="32" t="n">
        <v>2944</v>
      </c>
      <c r="AP5" s="32" t="n">
        <v>2233</v>
      </c>
      <c r="AQ5" s="32" t="n">
        <v>2233</v>
      </c>
      <c r="AR5" s="32" t="n">
        <v>3094</v>
      </c>
      <c r="AS5" s="32" t="n">
        <v>3094</v>
      </c>
      <c r="AT5" s="32" t="n">
        <v>1191</v>
      </c>
      <c r="AU5" s="32" t="n">
        <v>1191</v>
      </c>
      <c r="AV5" s="32" t="n">
        <v>-3022</v>
      </c>
      <c r="AW5" s="32" t="n">
        <v>-3022</v>
      </c>
      <c r="AX5" s="32" t="n">
        <v>922</v>
      </c>
      <c r="AY5" s="32" t="n">
        <v>922</v>
      </c>
      <c r="AZ5" s="32" t="n">
        <v>-617</v>
      </c>
      <c r="BA5" s="33" t="n">
        <v>-617</v>
      </c>
      <c r="BB5" s="33" t="n">
        <v>1132</v>
      </c>
      <c r="BC5" s="33" t="n">
        <v>1132</v>
      </c>
      <c r="BD5" s="33" t="n">
        <v>764</v>
      </c>
      <c r="BE5" s="33" t="n">
        <v>764</v>
      </c>
      <c r="BF5" s="33" t="n">
        <v>1518</v>
      </c>
      <c r="BG5" s="33" t="n">
        <v>1518</v>
      </c>
      <c r="BH5" s="33" t="n">
        <v>1492</v>
      </c>
      <c r="BI5" s="33" t="n">
        <v>1492</v>
      </c>
      <c r="BJ5" s="33" t="n">
        <v>-851</v>
      </c>
      <c r="BK5" s="33" t="n">
        <v>-851</v>
      </c>
      <c r="BL5" s="32" t="n">
        <v>169</v>
      </c>
      <c r="BM5" s="32" t="n">
        <v>169</v>
      </c>
      <c r="BN5" s="32" t="n">
        <v>788</v>
      </c>
      <c r="BO5" s="32" t="n">
        <v>788</v>
      </c>
      <c r="BP5" s="32" t="n">
        <v>1707</v>
      </c>
      <c r="BQ5" s="32" t="n">
        <v>1707</v>
      </c>
      <c r="BR5" s="34" t="n">
        <v>-1218</v>
      </c>
      <c r="BS5" s="34" t="n">
        <v>-1218</v>
      </c>
      <c r="BT5" s="34" t="n">
        <v>-1348</v>
      </c>
      <c r="BU5" s="12" t="n">
        <v>326</v>
      </c>
      <c r="BV5" s="34" t="n">
        <v>2435</v>
      </c>
      <c r="BW5" s="34" t="n">
        <v>8032</v>
      </c>
      <c r="BX5" s="34" t="n">
        <v>4103</v>
      </c>
      <c r="BY5" s="34" t="n">
        <v>3897</v>
      </c>
      <c r="BZ5" s="34" t="n">
        <v>-749</v>
      </c>
      <c r="CA5" s="12" t="n">
        <v>-328</v>
      </c>
      <c r="CB5" s="13" t="n">
        <v>4667</v>
      </c>
      <c r="CC5" s="16" t="n">
        <v>2645</v>
      </c>
    </row>
    <row r="6">
      <c r="A6" s="3" t="inlineStr">
        <is>
          <t>3</t>
        </is>
      </c>
      <c r="B6" s="2" t="inlineStr">
        <is>
          <t>Chemicals</t>
        </is>
      </c>
      <c r="C6" s="32" t="n">
        <v>-118</v>
      </c>
      <c r="D6" s="32" t="n">
        <v>-394</v>
      </c>
      <c r="E6" s="32" t="n">
        <v>-394</v>
      </c>
      <c r="F6" s="32" t="n">
        <v>-204</v>
      </c>
      <c r="G6" s="32" t="n">
        <v>-204</v>
      </c>
      <c r="H6" s="32" t="n">
        <v>182</v>
      </c>
      <c r="I6" s="32" t="n">
        <v>182</v>
      </c>
      <c r="J6" s="32" t="n">
        <v>699</v>
      </c>
      <c r="K6" s="32" t="n">
        <v>699</v>
      </c>
      <c r="L6" s="32" t="n">
        <v>746</v>
      </c>
      <c r="M6" s="32" t="n">
        <v>746</v>
      </c>
      <c r="N6" s="32" t="n">
        <v>552</v>
      </c>
      <c r="O6" s="32" t="n">
        <v>552</v>
      </c>
      <c r="P6" s="32" t="n">
        <v>31</v>
      </c>
      <c r="Q6" s="32" t="n">
        <v>31</v>
      </c>
      <c r="R6" s="32" t="n">
        <v>210</v>
      </c>
      <c r="S6" s="32" t="n">
        <v>210</v>
      </c>
      <c r="T6" s="32" t="n">
        <v>-197</v>
      </c>
      <c r="U6" s="32" t="n">
        <v>-197</v>
      </c>
      <c r="V6" s="32" t="n">
        <v>646</v>
      </c>
      <c r="W6" s="32" t="n">
        <v>646</v>
      </c>
      <c r="X6" s="32" t="n">
        <v>-46</v>
      </c>
      <c r="Y6" s="32" t="n">
        <v>-46</v>
      </c>
      <c r="Z6" s="32" t="n">
        <v>42</v>
      </c>
      <c r="AA6" s="32" t="n">
        <v>42</v>
      </c>
      <c r="AB6" s="32" t="n">
        <v>313</v>
      </c>
      <c r="AC6" s="32" t="n">
        <v>313</v>
      </c>
      <c r="AD6" s="32" t="n">
        <v>337</v>
      </c>
      <c r="AE6" s="32" t="n">
        <v>337</v>
      </c>
      <c r="AF6" s="32" t="n">
        <v>92</v>
      </c>
      <c r="AG6" s="32" t="n">
        <v>92</v>
      </c>
      <c r="AH6" s="32" t="n">
        <v>-129</v>
      </c>
      <c r="AI6" s="32" t="n">
        <v>-129</v>
      </c>
      <c r="AJ6" s="32" t="n">
        <v>620</v>
      </c>
      <c r="AK6" s="32" t="n">
        <v>620</v>
      </c>
      <c r="AL6" s="32" t="n">
        <v>-309</v>
      </c>
      <c r="AM6" s="32" t="n">
        <v>-309</v>
      </c>
      <c r="AN6" s="32" t="n">
        <v>1184</v>
      </c>
      <c r="AO6" s="32" t="n">
        <v>1184</v>
      </c>
      <c r="AP6" s="32" t="n">
        <v>833</v>
      </c>
      <c r="AQ6" s="32" t="n">
        <v>833</v>
      </c>
      <c r="AR6" s="32" t="n">
        <v>475</v>
      </c>
      <c r="AS6" s="32" t="n">
        <v>475</v>
      </c>
      <c r="AT6" s="32" t="n">
        <v>1405</v>
      </c>
      <c r="AU6" s="32" t="n">
        <v>1405</v>
      </c>
      <c r="AV6" s="32" t="n">
        <v>987</v>
      </c>
      <c r="AW6" s="32" t="n">
        <v>987</v>
      </c>
      <c r="AX6" s="32" t="n">
        <v>168</v>
      </c>
      <c r="AY6" s="32" t="n">
        <v>168</v>
      </c>
      <c r="AZ6" s="32" t="n">
        <v>961</v>
      </c>
      <c r="BA6" s="33" t="n">
        <v>961</v>
      </c>
      <c r="BB6" s="33" t="n">
        <v>410</v>
      </c>
      <c r="BC6" s="33" t="n">
        <v>410</v>
      </c>
      <c r="BD6" s="33" t="n">
        <v>1161</v>
      </c>
      <c r="BE6" s="33" t="n">
        <v>1161</v>
      </c>
      <c r="BF6" s="33" t="n">
        <v>23</v>
      </c>
      <c r="BG6" s="33" t="n">
        <v>23</v>
      </c>
      <c r="BH6" s="33" t="n">
        <v>-406</v>
      </c>
      <c r="BI6" s="33" t="n">
        <v>-406</v>
      </c>
      <c r="BJ6" s="33" t="n">
        <v>-316</v>
      </c>
      <c r="BK6" s="33" t="n">
        <v>-316</v>
      </c>
      <c r="BL6" s="32" t="n">
        <v>-608</v>
      </c>
      <c r="BM6" s="32" t="n">
        <v>-608</v>
      </c>
      <c r="BN6" s="32" t="n">
        <v>-518</v>
      </c>
      <c r="BO6" s="32" t="n">
        <v>-518</v>
      </c>
      <c r="BP6" s="32" t="n">
        <v>-660</v>
      </c>
      <c r="BQ6" s="32" t="n">
        <v>-660</v>
      </c>
      <c r="BR6" s="34" t="n">
        <v>-23</v>
      </c>
      <c r="BS6" s="34" t="n">
        <v>-23</v>
      </c>
      <c r="BT6" s="34" t="n">
        <v>-25</v>
      </c>
      <c r="BU6" s="12" t="n">
        <v>69</v>
      </c>
      <c r="BV6" s="34" t="n">
        <v>71</v>
      </c>
      <c r="BW6" s="34" t="n">
        <v>642</v>
      </c>
      <c r="BX6" s="34" t="n">
        <v>-394</v>
      </c>
      <c r="BY6" s="34" t="n">
        <v>225</v>
      </c>
      <c r="BZ6" s="34" t="n">
        <v>-457</v>
      </c>
      <c r="CA6" s="12" t="n">
        <v>-266</v>
      </c>
      <c r="CB6" s="12" t="n">
        <v>-121</v>
      </c>
      <c r="CC6" s="14" t="n">
        <v>-700</v>
      </c>
    </row>
    <row r="7">
      <c r="A7" s="3" t="inlineStr">
        <is>
          <t>4</t>
        </is>
      </c>
      <c r="B7" s="2" t="inlineStr">
        <is>
          <t>Construction</t>
        </is>
      </c>
      <c r="C7" s="32" t="n">
        <v>-902</v>
      </c>
      <c r="D7" s="32" t="n">
        <v>-627</v>
      </c>
      <c r="E7" s="32" t="n">
        <v>-627</v>
      </c>
      <c r="F7" s="32" t="n">
        <v>-699</v>
      </c>
      <c r="G7" s="32" t="n">
        <v>-699</v>
      </c>
      <c r="H7" s="32" t="n">
        <v>-59</v>
      </c>
      <c r="I7" s="32" t="n">
        <v>-59</v>
      </c>
      <c r="J7" s="32" t="n">
        <v>584</v>
      </c>
      <c r="K7" s="32" t="n">
        <v>584</v>
      </c>
      <c r="L7" s="32" t="n">
        <v>511</v>
      </c>
      <c r="M7" s="32" t="n">
        <v>511</v>
      </c>
      <c r="N7" s="32" t="n">
        <v>-1723</v>
      </c>
      <c r="O7" s="32" t="n">
        <v>-1723</v>
      </c>
      <c r="P7" s="32" t="n">
        <v>-2927</v>
      </c>
      <c r="Q7" s="32" t="n">
        <v>-2927</v>
      </c>
      <c r="R7" s="32" t="n">
        <v>1917</v>
      </c>
      <c r="S7" s="32" t="n">
        <v>1917</v>
      </c>
      <c r="T7" s="32" t="n">
        <v>89</v>
      </c>
      <c r="U7" s="32" t="n">
        <v>89</v>
      </c>
      <c r="V7" s="32" t="n">
        <v>1148</v>
      </c>
      <c r="W7" s="32" t="n">
        <v>1148</v>
      </c>
      <c r="X7" s="32" t="n">
        <v>260</v>
      </c>
      <c r="Y7" s="32" t="n">
        <v>260</v>
      </c>
      <c r="Z7" s="32" t="n">
        <v>-1623</v>
      </c>
      <c r="AA7" s="32" t="n">
        <v>-1623</v>
      </c>
      <c r="AB7" s="32" t="n">
        <v>-1256</v>
      </c>
      <c r="AC7" s="32" t="n">
        <v>-1256</v>
      </c>
      <c r="AD7" s="32" t="n">
        <v>-1886</v>
      </c>
      <c r="AE7" s="32" t="n">
        <v>-1886</v>
      </c>
      <c r="AF7" s="32" t="n">
        <v>-1465</v>
      </c>
      <c r="AG7" s="32" t="n">
        <v>-1465</v>
      </c>
      <c r="AH7" s="32" t="n">
        <v>-864</v>
      </c>
      <c r="AI7" s="32" t="n">
        <v>-864</v>
      </c>
      <c r="AJ7" s="32" t="n">
        <v>615</v>
      </c>
      <c r="AK7" s="32" t="n">
        <v>615</v>
      </c>
      <c r="AL7" s="32" t="n">
        <v>-2461</v>
      </c>
      <c r="AM7" s="32" t="n">
        <v>-2461</v>
      </c>
      <c r="AN7" s="32" t="n">
        <v>-425</v>
      </c>
      <c r="AO7" s="32" t="n">
        <v>-425</v>
      </c>
      <c r="AP7" s="32" t="n">
        <v>-190</v>
      </c>
      <c r="AQ7" s="32" t="n">
        <v>-190</v>
      </c>
      <c r="AR7" s="32" t="n">
        <v>457</v>
      </c>
      <c r="AS7" s="32" t="n">
        <v>457</v>
      </c>
      <c r="AT7" s="32" t="n">
        <v>-224</v>
      </c>
      <c r="AU7" s="32" t="n">
        <v>-224</v>
      </c>
      <c r="AV7" s="32" t="n">
        <v>-14</v>
      </c>
      <c r="AW7" s="32" t="n">
        <v>-14</v>
      </c>
      <c r="AX7" s="32" t="n">
        <v>-38</v>
      </c>
      <c r="AY7" s="32" t="n">
        <v>-38</v>
      </c>
      <c r="AZ7" s="32" t="n">
        <v>-1316</v>
      </c>
      <c r="BA7" s="33" t="n">
        <v>-1316</v>
      </c>
      <c r="BB7" s="33" t="n">
        <v>1378</v>
      </c>
      <c r="BC7" s="33" t="n">
        <v>1378</v>
      </c>
      <c r="BD7" s="33" t="n">
        <v>-22</v>
      </c>
      <c r="BE7" s="33" t="n">
        <v>-22</v>
      </c>
      <c r="BF7" s="33" t="n">
        <v>130</v>
      </c>
      <c r="BG7" s="33" t="n">
        <v>130</v>
      </c>
      <c r="BH7" s="33" t="n">
        <v>726</v>
      </c>
      <c r="BI7" s="33" t="n">
        <v>726</v>
      </c>
      <c r="BJ7" s="33" t="n">
        <v>641</v>
      </c>
      <c r="BK7" s="33" t="n">
        <v>641</v>
      </c>
      <c r="BL7" s="32" t="n">
        <v>1592</v>
      </c>
      <c r="BM7" s="32" t="n">
        <v>1592</v>
      </c>
      <c r="BN7" s="32" t="n">
        <v>-330</v>
      </c>
      <c r="BO7" s="32" t="n">
        <v>-330</v>
      </c>
      <c r="BP7" s="32" t="n">
        <v>-112</v>
      </c>
      <c r="BQ7" s="32" t="n">
        <v>-112</v>
      </c>
      <c r="BR7" s="34" t="n">
        <v>-175</v>
      </c>
      <c r="BS7" s="34" t="n">
        <v>-175</v>
      </c>
      <c r="BT7" s="34" t="n">
        <v>382</v>
      </c>
      <c r="BU7" s="12" t="n">
        <v>-455</v>
      </c>
      <c r="BV7" s="34" t="n">
        <v>-1077</v>
      </c>
      <c r="BW7" s="34" t="n">
        <v>1745</v>
      </c>
      <c r="BX7" s="34" t="n">
        <v>2742</v>
      </c>
      <c r="BY7" s="34" t="n">
        <v>-2975</v>
      </c>
      <c r="BZ7" s="34" t="n">
        <v>-6179</v>
      </c>
      <c r="CA7" s="13" t="n">
        <v>-1273</v>
      </c>
      <c r="CB7" s="13" t="n">
        <v>2199</v>
      </c>
      <c r="CC7" s="15" t="n">
        <v>-991</v>
      </c>
    </row>
    <row r="8">
      <c r="A8" s="3" t="inlineStr">
        <is>
          <t>5</t>
        </is>
      </c>
      <c r="B8" s="2" t="inlineStr">
        <is>
          <t>Construction Materials</t>
        </is>
      </c>
      <c r="C8" s="32" t="n">
        <v>194</v>
      </c>
      <c r="D8" s="32" t="n">
        <v>486</v>
      </c>
      <c r="E8" s="32" t="n">
        <v>486</v>
      </c>
      <c r="F8" s="32" t="n">
        <v>-2036</v>
      </c>
      <c r="G8" s="32" t="n">
        <v>-2036</v>
      </c>
      <c r="H8" s="32" t="n">
        <v>894</v>
      </c>
      <c r="I8" s="32" t="n">
        <v>894</v>
      </c>
      <c r="J8" s="32" t="n">
        <v>-393</v>
      </c>
      <c r="K8" s="32" t="n">
        <v>-393</v>
      </c>
      <c r="L8" s="32" t="n">
        <v>-508</v>
      </c>
      <c r="M8" s="32" t="n">
        <v>-508</v>
      </c>
      <c r="N8" s="32" t="n">
        <v>-1426</v>
      </c>
      <c r="O8" s="32" t="n">
        <v>-1426</v>
      </c>
      <c r="P8" s="32" t="n">
        <v>-2014</v>
      </c>
      <c r="Q8" s="32" t="n">
        <v>-2014</v>
      </c>
      <c r="R8" s="32" t="n">
        <v>-802</v>
      </c>
      <c r="S8" s="32" t="n">
        <v>-802</v>
      </c>
      <c r="T8" s="32" t="n">
        <v>-1913</v>
      </c>
      <c r="U8" s="32" t="n">
        <v>-1913</v>
      </c>
      <c r="V8" s="32" t="n">
        <v>-174</v>
      </c>
      <c r="W8" s="32" t="n">
        <v>-174</v>
      </c>
      <c r="X8" s="32" t="n">
        <v>-196</v>
      </c>
      <c r="Y8" s="32" t="n">
        <v>-196</v>
      </c>
      <c r="Z8" s="32" t="n">
        <v>-793</v>
      </c>
      <c r="AA8" s="32" t="n">
        <v>-793</v>
      </c>
      <c r="AB8" s="32" t="n">
        <v>-1277</v>
      </c>
      <c r="AC8" s="32" t="n">
        <v>-1277</v>
      </c>
      <c r="AD8" s="32" t="n">
        <v>-2024</v>
      </c>
      <c r="AE8" s="32" t="n">
        <v>-2024</v>
      </c>
      <c r="AF8" s="32" t="n">
        <v>-1820</v>
      </c>
      <c r="AG8" s="32" t="n">
        <v>-1820</v>
      </c>
      <c r="AH8" s="32" t="n">
        <v>-1465</v>
      </c>
      <c r="AI8" s="32" t="n">
        <v>-1465</v>
      </c>
      <c r="AJ8" s="32" t="n">
        <v>-132</v>
      </c>
      <c r="AK8" s="32" t="n">
        <v>-132</v>
      </c>
      <c r="AL8" s="32" t="n">
        <v>-612</v>
      </c>
      <c r="AM8" s="32" t="n">
        <v>-612</v>
      </c>
      <c r="AN8" s="32" t="n">
        <v>415</v>
      </c>
      <c r="AO8" s="32" t="n">
        <v>415</v>
      </c>
      <c r="AP8" s="32" t="n">
        <v>155</v>
      </c>
      <c r="AQ8" s="32" t="n">
        <v>155</v>
      </c>
      <c r="AR8" s="32" t="n">
        <v>420</v>
      </c>
      <c r="AS8" s="32" t="n">
        <v>420</v>
      </c>
      <c r="AT8" s="32" t="n">
        <v>-584</v>
      </c>
      <c r="AU8" s="32" t="n">
        <v>-584</v>
      </c>
      <c r="AV8" s="32" t="n">
        <v>842</v>
      </c>
      <c r="AW8" s="32" t="n">
        <v>842</v>
      </c>
      <c r="AX8" s="32" t="n">
        <v>136</v>
      </c>
      <c r="AY8" s="32" t="n">
        <v>136</v>
      </c>
      <c r="AZ8" s="32" t="n">
        <v>193</v>
      </c>
      <c r="BA8" s="33" t="n">
        <v>193</v>
      </c>
      <c r="BB8" s="33" t="n">
        <v>1690</v>
      </c>
      <c r="BC8" s="33" t="n">
        <v>1690</v>
      </c>
      <c r="BD8" s="33" t="n">
        <v>785</v>
      </c>
      <c r="BE8" s="33" t="n">
        <v>785</v>
      </c>
      <c r="BF8" s="33" t="n">
        <v>-1193</v>
      </c>
      <c r="BG8" s="33" t="n">
        <v>-1193</v>
      </c>
      <c r="BH8" s="33" t="n">
        <v>-220</v>
      </c>
      <c r="BI8" s="33" t="n">
        <v>-220</v>
      </c>
      <c r="BJ8" s="33" t="n">
        <v>-94</v>
      </c>
      <c r="BK8" s="33" t="n">
        <v>-94</v>
      </c>
      <c r="BL8" s="32" t="n">
        <v>-1198</v>
      </c>
      <c r="BM8" s="32" t="n">
        <v>-1198</v>
      </c>
      <c r="BN8" s="32" t="n">
        <v>-369</v>
      </c>
      <c r="BO8" s="32" t="n">
        <v>-369</v>
      </c>
      <c r="BP8" s="32" t="n">
        <v>-492</v>
      </c>
      <c r="BQ8" s="32" t="n">
        <v>-492</v>
      </c>
      <c r="BR8" s="34" t="n">
        <v>-1125</v>
      </c>
      <c r="BS8" s="34" t="n">
        <v>-1125</v>
      </c>
      <c r="BT8" s="34" t="n">
        <v>-549</v>
      </c>
      <c r="BU8" s="12" t="n">
        <v>-481</v>
      </c>
      <c r="BV8" s="34" t="n">
        <v>-376</v>
      </c>
      <c r="BW8" s="34" t="n">
        <v>378</v>
      </c>
      <c r="BX8" s="34" t="n">
        <v>-57</v>
      </c>
      <c r="BY8" s="34" t="n">
        <v>-1492</v>
      </c>
      <c r="BZ8" s="34" t="n">
        <v>-1652</v>
      </c>
      <c r="CA8" s="12" t="n">
        <v>-601</v>
      </c>
      <c r="CB8" s="12" t="n">
        <v>-670</v>
      </c>
      <c r="CC8" s="17" t="n">
        <v>-1207</v>
      </c>
    </row>
    <row r="9">
      <c r="A9" s="3" t="inlineStr">
        <is>
          <t>6</t>
        </is>
      </c>
      <c r="B9" s="2" t="inlineStr">
        <is>
          <t>Consumer Durables</t>
        </is>
      </c>
      <c r="C9" s="32" t="n">
        <v>125</v>
      </c>
      <c r="D9" s="32" t="n">
        <v>-313</v>
      </c>
      <c r="E9" s="32" t="n">
        <v>-313</v>
      </c>
      <c r="F9" s="32" t="n">
        <v>-584</v>
      </c>
      <c r="G9" s="32" t="n">
        <v>-584</v>
      </c>
      <c r="H9" s="32" t="n">
        <v>5297</v>
      </c>
      <c r="I9" s="32" t="n">
        <v>5297</v>
      </c>
      <c r="J9" s="32" t="n">
        <v>2226</v>
      </c>
      <c r="K9" s="32" t="n">
        <v>2226</v>
      </c>
      <c r="L9" s="32" t="n">
        <v>1510</v>
      </c>
      <c r="M9" s="32" t="n">
        <v>1510</v>
      </c>
      <c r="N9" s="32" t="n">
        <v>-846</v>
      </c>
      <c r="O9" s="32" t="n">
        <v>-846</v>
      </c>
      <c r="P9" s="32" t="n">
        <v>-2017</v>
      </c>
      <c r="Q9" s="32" t="n">
        <v>-2017</v>
      </c>
      <c r="R9" s="32" t="n">
        <v>-433</v>
      </c>
      <c r="S9" s="32" t="n">
        <v>-433</v>
      </c>
      <c r="T9" s="32" t="n">
        <v>426</v>
      </c>
      <c r="U9" s="32" t="n">
        <v>426</v>
      </c>
      <c r="V9" s="32" t="n">
        <v>-748</v>
      </c>
      <c r="W9" s="32" t="n">
        <v>-748</v>
      </c>
      <c r="X9" s="32" t="n">
        <v>-152</v>
      </c>
      <c r="Y9" s="32" t="n">
        <v>-152</v>
      </c>
      <c r="Z9" s="32" t="n">
        <v>-931</v>
      </c>
      <c r="AA9" s="32" t="n">
        <v>-931</v>
      </c>
      <c r="AB9" s="32" t="n">
        <v>-2869</v>
      </c>
      <c r="AC9" s="32" t="n">
        <v>-2869</v>
      </c>
      <c r="AD9" s="32" t="n">
        <v>-1049</v>
      </c>
      <c r="AE9" s="32" t="n">
        <v>-1049</v>
      </c>
      <c r="AF9" s="32" t="n">
        <v>-1241</v>
      </c>
      <c r="AG9" s="32" t="n">
        <v>-1241</v>
      </c>
      <c r="AH9" s="32" t="n">
        <v>-1566</v>
      </c>
      <c r="AI9" s="32" t="n">
        <v>-1566</v>
      </c>
      <c r="AJ9" s="32" t="n">
        <v>48</v>
      </c>
      <c r="AK9" s="32" t="n">
        <v>48</v>
      </c>
      <c r="AL9" s="32" t="n">
        <v>-1026</v>
      </c>
      <c r="AM9" s="32" t="n">
        <v>-1026</v>
      </c>
      <c r="AN9" s="32" t="n">
        <v>965</v>
      </c>
      <c r="AO9" s="32" t="n">
        <v>965</v>
      </c>
      <c r="AP9" s="32" t="n">
        <v>-622</v>
      </c>
      <c r="AQ9" s="32" t="n">
        <v>-622</v>
      </c>
      <c r="AR9" s="32" t="n">
        <v>-1112</v>
      </c>
      <c r="AS9" s="32" t="n">
        <v>-1112</v>
      </c>
      <c r="AT9" s="32" t="n">
        <v>-1893</v>
      </c>
      <c r="AU9" s="32" t="n">
        <v>-1893</v>
      </c>
      <c r="AV9" s="32" t="n">
        <v>-600</v>
      </c>
      <c r="AW9" s="32" t="n">
        <v>-600</v>
      </c>
      <c r="AX9" s="32" t="n">
        <v>-1292</v>
      </c>
      <c r="AY9" s="32" t="n">
        <v>-1292</v>
      </c>
      <c r="AZ9" s="32" t="n">
        <v>-1322</v>
      </c>
      <c r="BA9" s="33" t="n">
        <v>-1322</v>
      </c>
      <c r="BB9" s="33" t="n">
        <v>-1133</v>
      </c>
      <c r="BC9" s="33" t="n">
        <v>-1133</v>
      </c>
      <c r="BD9" s="33" t="n">
        <v>-836</v>
      </c>
      <c r="BE9" s="33" t="n">
        <v>-836</v>
      </c>
      <c r="BF9" s="33" t="n">
        <v>-326</v>
      </c>
      <c r="BG9" s="33" t="n">
        <v>-326</v>
      </c>
      <c r="BH9" s="33" t="n">
        <v>-3301</v>
      </c>
      <c r="BI9" s="33" t="n">
        <v>-3301</v>
      </c>
      <c r="BJ9" s="33" t="n">
        <v>-213</v>
      </c>
      <c r="BK9" s="33" t="n">
        <v>-213</v>
      </c>
      <c r="BL9" s="32" t="n">
        <v>-1543</v>
      </c>
      <c r="BM9" s="32" t="n">
        <v>-1543</v>
      </c>
      <c r="BN9" s="32" t="n">
        <v>-1379</v>
      </c>
      <c r="BO9" s="32" t="n">
        <v>-1379</v>
      </c>
      <c r="BP9" s="32" t="n">
        <v>1273</v>
      </c>
      <c r="BQ9" s="32" t="n">
        <v>1273</v>
      </c>
      <c r="BR9" s="34" t="n">
        <v>401</v>
      </c>
      <c r="BS9" s="34" t="n">
        <v>401</v>
      </c>
      <c r="BT9" s="34" t="n">
        <v>198</v>
      </c>
      <c r="BU9" s="12" t="n">
        <v>322</v>
      </c>
      <c r="BV9" s="34" t="n">
        <v>-1372</v>
      </c>
      <c r="BW9" s="34" t="n">
        <v>-434</v>
      </c>
      <c r="BX9" s="34" t="n">
        <v>-322</v>
      </c>
      <c r="BY9" s="34" t="n">
        <v>-1727</v>
      </c>
      <c r="BZ9" s="34" t="n">
        <v>-1175</v>
      </c>
      <c r="CA9" s="12" t="n">
        <v>-361</v>
      </c>
      <c r="CB9" s="12" t="n">
        <v>441</v>
      </c>
      <c r="CC9" s="16" t="n">
        <v>-1162</v>
      </c>
    </row>
    <row r="10">
      <c r="A10" s="3" t="inlineStr">
        <is>
          <t>7</t>
        </is>
      </c>
      <c r="B10" s="2" t="inlineStr">
        <is>
          <t>Consumer Services</t>
        </is>
      </c>
      <c r="C10" s="32" t="n">
        <v>1642</v>
      </c>
      <c r="D10" s="32" t="n">
        <v>1787</v>
      </c>
      <c r="E10" s="32" t="n">
        <v>1787</v>
      </c>
      <c r="F10" s="32" t="n">
        <v>2196</v>
      </c>
      <c r="G10" s="32" t="n">
        <v>2196</v>
      </c>
      <c r="H10" s="32" t="n">
        <v>1962</v>
      </c>
      <c r="I10" s="32" t="n">
        <v>1962</v>
      </c>
      <c r="J10" s="32" t="n">
        <v>-156</v>
      </c>
      <c r="K10" s="32" t="n">
        <v>-156</v>
      </c>
      <c r="L10" s="32" t="n">
        <v>-2784</v>
      </c>
      <c r="M10" s="32" t="n">
        <v>-2784</v>
      </c>
      <c r="N10" s="32" t="n">
        <v>-4633</v>
      </c>
      <c r="O10" s="32" t="n">
        <v>-4633</v>
      </c>
      <c r="P10" s="32" t="n">
        <v>-4230</v>
      </c>
      <c r="Q10" s="32" t="n">
        <v>-4230</v>
      </c>
      <c r="R10" s="32" t="n">
        <v>-629</v>
      </c>
      <c r="S10" s="32" t="n">
        <v>-629</v>
      </c>
      <c r="T10" s="32" t="n">
        <v>471</v>
      </c>
      <c r="U10" s="32" t="n">
        <v>471</v>
      </c>
      <c r="V10" s="32" t="n">
        <v>2715</v>
      </c>
      <c r="W10" s="32" t="n">
        <v>2715</v>
      </c>
      <c r="X10" s="32" t="n">
        <v>505</v>
      </c>
      <c r="Y10" s="32" t="n">
        <v>505</v>
      </c>
      <c r="Z10" s="32" t="n">
        <v>-3507</v>
      </c>
      <c r="AA10" s="32" t="n">
        <v>-3507</v>
      </c>
      <c r="AB10" s="32" t="n">
        <v>-4840</v>
      </c>
      <c r="AC10" s="32" t="n">
        <v>-4840</v>
      </c>
      <c r="AD10" s="32" t="n">
        <v>-2262</v>
      </c>
      <c r="AE10" s="32" t="n">
        <v>-2262</v>
      </c>
      <c r="AF10" s="32" t="n">
        <v>-595</v>
      </c>
      <c r="AG10" s="32" t="n">
        <v>-595</v>
      </c>
      <c r="AH10" s="32" t="n">
        <v>-1900</v>
      </c>
      <c r="AI10" s="32" t="n">
        <v>-1900</v>
      </c>
      <c r="AJ10" s="32" t="n">
        <v>-1158</v>
      </c>
      <c r="AK10" s="32" t="n">
        <v>-1158</v>
      </c>
      <c r="AL10" s="32" t="n">
        <v>-166</v>
      </c>
      <c r="AM10" s="32" t="n">
        <v>-166</v>
      </c>
      <c r="AN10" s="32" t="n">
        <v>1963</v>
      </c>
      <c r="AO10" s="32" t="n">
        <v>1963</v>
      </c>
      <c r="AP10" s="32" t="n">
        <v>1240</v>
      </c>
      <c r="AQ10" s="32" t="n">
        <v>1240</v>
      </c>
      <c r="AR10" s="32" t="n">
        <v>-1731</v>
      </c>
      <c r="AS10" s="32" t="n">
        <v>-1731</v>
      </c>
      <c r="AT10" s="32" t="n">
        <v>-1461</v>
      </c>
      <c r="AU10" s="32" t="n">
        <v>-1461</v>
      </c>
      <c r="AV10" s="32" t="n">
        <v>2809</v>
      </c>
      <c r="AW10" s="32" t="n">
        <v>2809</v>
      </c>
      <c r="AX10" s="32" t="n">
        <v>953</v>
      </c>
      <c r="AY10" s="32" t="n">
        <v>953</v>
      </c>
      <c r="AZ10" s="32" t="n">
        <v>2064</v>
      </c>
      <c r="BA10" s="33" t="n">
        <v>2064</v>
      </c>
      <c r="BB10" s="33" t="n">
        <v>-948</v>
      </c>
      <c r="BC10" s="33" t="n">
        <v>-948</v>
      </c>
      <c r="BD10" s="33" t="n">
        <v>490</v>
      </c>
      <c r="BE10" s="33" t="n">
        <v>490</v>
      </c>
      <c r="BF10" s="33" t="n">
        <v>-3246</v>
      </c>
      <c r="BG10" s="33" t="n">
        <v>-3246</v>
      </c>
      <c r="BH10" s="33" t="n">
        <v>-114</v>
      </c>
      <c r="BI10" s="33" t="n">
        <v>-114</v>
      </c>
      <c r="BJ10" s="33" t="n">
        <v>-1785</v>
      </c>
      <c r="BK10" s="33" t="n">
        <v>-1785</v>
      </c>
      <c r="BL10" s="32" t="n">
        <v>-1677</v>
      </c>
      <c r="BM10" s="32" t="n">
        <v>-1677</v>
      </c>
      <c r="BN10" s="32" t="n">
        <v>-2918</v>
      </c>
      <c r="BO10" s="32" t="n">
        <v>-2918</v>
      </c>
      <c r="BP10" s="32" t="n">
        <v>-1075</v>
      </c>
      <c r="BQ10" s="32" t="n">
        <v>-1075</v>
      </c>
      <c r="BR10" s="34" t="n">
        <v>-50</v>
      </c>
      <c r="BS10" s="34" t="n">
        <v>-50</v>
      </c>
      <c r="BT10" s="34" t="n">
        <v>3390</v>
      </c>
      <c r="BU10" s="13" t="n">
        <v>-1952</v>
      </c>
      <c r="BV10" s="34" t="n">
        <v>-3561</v>
      </c>
      <c r="BW10" s="34" t="n">
        <v>1066</v>
      </c>
      <c r="BX10" s="34" t="n">
        <v>-5238</v>
      </c>
      <c r="BY10" s="34" t="n">
        <v>531</v>
      </c>
      <c r="BZ10" s="34" t="n">
        <v>-2672</v>
      </c>
      <c r="CA10" s="13" t="n">
        <v>-5336</v>
      </c>
      <c r="CB10" s="13" t="n">
        <v>-2434</v>
      </c>
      <c r="CC10" s="14" t="n">
        <v>-365</v>
      </c>
    </row>
    <row r="11">
      <c r="A11" s="3" t="inlineStr">
        <is>
          <t>8</t>
        </is>
      </c>
      <c r="B11" s="2" t="inlineStr">
        <is>
          <t>Diversified</t>
        </is>
      </c>
      <c r="C11" s="32" t="n">
        <v>316</v>
      </c>
      <c r="D11" s="32" t="n">
        <v>54</v>
      </c>
      <c r="E11" s="32" t="n">
        <v>54</v>
      </c>
      <c r="F11" s="32" t="n">
        <v>-69</v>
      </c>
      <c r="G11" s="32" t="n">
        <v>-69</v>
      </c>
      <c r="H11" s="32" t="n">
        <v>15</v>
      </c>
      <c r="I11" s="32" t="n">
        <v>15</v>
      </c>
      <c r="J11" s="32" t="n">
        <v>13</v>
      </c>
      <c r="K11" s="32" t="n">
        <v>13</v>
      </c>
      <c r="L11" s="32" t="n">
        <v>-21</v>
      </c>
      <c r="M11" s="32" t="n">
        <v>-21</v>
      </c>
      <c r="N11" s="32" t="n">
        <v>21</v>
      </c>
      <c r="O11" s="32" t="n">
        <v>21</v>
      </c>
      <c r="P11" s="32" t="n">
        <v>0</v>
      </c>
      <c r="Q11" s="32" t="n">
        <v>0</v>
      </c>
      <c r="R11" s="32" t="n">
        <v>-17</v>
      </c>
      <c r="S11" s="32" t="n">
        <v>-17</v>
      </c>
      <c r="T11" s="32" t="n">
        <v>-6</v>
      </c>
      <c r="U11" s="32" t="n">
        <v>-6</v>
      </c>
      <c r="V11" s="32" t="n">
        <v>-96</v>
      </c>
      <c r="W11" s="32" t="n">
        <v>-96</v>
      </c>
      <c r="X11" s="32" t="n">
        <v>-101</v>
      </c>
      <c r="Y11" s="32" t="n">
        <v>-101</v>
      </c>
      <c r="Z11" s="32" t="n">
        <v>-60</v>
      </c>
      <c r="AA11" s="32" t="n">
        <v>-60</v>
      </c>
      <c r="AB11" s="32" t="n">
        <v>287</v>
      </c>
      <c r="AC11" s="32" t="n">
        <v>287</v>
      </c>
      <c r="AD11" s="32" t="n">
        <v>-2</v>
      </c>
      <c r="AE11" s="32" t="n">
        <v>-2</v>
      </c>
      <c r="AF11" s="32" t="n">
        <v>-249</v>
      </c>
      <c r="AG11" s="32" t="n">
        <v>-249</v>
      </c>
      <c r="AH11" s="32" t="n">
        <v>-279</v>
      </c>
      <c r="AI11" s="32" t="n">
        <v>-279</v>
      </c>
      <c r="AJ11" s="32" t="n">
        <v>-38</v>
      </c>
      <c r="AK11" s="32" t="n">
        <v>-38</v>
      </c>
      <c r="AL11" s="32" t="n">
        <v>28</v>
      </c>
      <c r="AM11" s="32" t="n">
        <v>28</v>
      </c>
      <c r="AN11" s="32" t="n">
        <v>5</v>
      </c>
      <c r="AO11" s="32" t="n">
        <v>5</v>
      </c>
      <c r="AP11" s="32" t="n">
        <v>-1</v>
      </c>
      <c r="AQ11" s="32" t="n">
        <v>-1</v>
      </c>
      <c r="AR11" s="32" t="n">
        <v>-111</v>
      </c>
      <c r="AS11" s="32" t="n">
        <v>-111</v>
      </c>
      <c r="AT11" s="32" t="n">
        <v>-353</v>
      </c>
      <c r="AU11" s="32" t="n">
        <v>-353</v>
      </c>
      <c r="AV11" s="32" t="n">
        <v>-102</v>
      </c>
      <c r="AW11" s="32" t="n">
        <v>-102</v>
      </c>
      <c r="AX11" s="32" t="n">
        <v>-22</v>
      </c>
      <c r="AY11" s="32" t="n">
        <v>-22</v>
      </c>
      <c r="AZ11" s="32" t="n">
        <v>-35</v>
      </c>
      <c r="BA11" s="33" t="n">
        <v>-35</v>
      </c>
      <c r="BB11" s="33" t="n">
        <v>-58</v>
      </c>
      <c r="BC11" s="33" t="n">
        <v>-58</v>
      </c>
      <c r="BD11" s="33" t="n">
        <v>-55</v>
      </c>
      <c r="BE11" s="33" t="n">
        <v>-55</v>
      </c>
      <c r="BF11" s="33" t="n">
        <v>-34</v>
      </c>
      <c r="BG11" s="33" t="n">
        <v>-34</v>
      </c>
      <c r="BH11" s="33" t="n">
        <v>-186</v>
      </c>
      <c r="BI11" s="33" t="n">
        <v>-186</v>
      </c>
      <c r="BJ11" s="33" t="n">
        <v>-34</v>
      </c>
      <c r="BK11" s="33" t="n">
        <v>-34</v>
      </c>
      <c r="BL11" s="32" t="n">
        <v>-70</v>
      </c>
      <c r="BM11" s="32" t="n">
        <v>-70</v>
      </c>
      <c r="BN11" s="32" t="n">
        <v>46</v>
      </c>
      <c r="BO11" s="32" t="n">
        <v>46</v>
      </c>
      <c r="BP11" s="32" t="n">
        <v>10</v>
      </c>
      <c r="BQ11" s="32" t="n">
        <v>10</v>
      </c>
      <c r="BR11" s="34" t="n">
        <v>-80</v>
      </c>
      <c r="BS11" s="34" t="n">
        <v>-80</v>
      </c>
      <c r="BT11" s="34" t="n">
        <v>-29</v>
      </c>
      <c r="BU11" s="12" t="n">
        <v>-14</v>
      </c>
      <c r="BV11" s="34" t="n">
        <v>5</v>
      </c>
      <c r="BW11" s="34" t="n">
        <v>-2</v>
      </c>
      <c r="BX11" s="34" t="n">
        <v>2</v>
      </c>
      <c r="BY11" s="34" t="n">
        <v>0</v>
      </c>
      <c r="BZ11" s="34" t="n">
        <v>-21</v>
      </c>
      <c r="CA11" s="12" t="n">
        <v>5</v>
      </c>
      <c r="CB11" s="12" t="n">
        <v>3</v>
      </c>
      <c r="CC11" s="15" t="n">
        <v>33</v>
      </c>
    </row>
    <row r="12">
      <c r="A12" s="3" t="inlineStr">
        <is>
          <t>9</t>
        </is>
      </c>
      <c r="B12" s="2" t="inlineStr">
        <is>
          <t>Fast Moving Consumer Goods</t>
        </is>
      </c>
      <c r="C12" s="32" t="n">
        <v>1809</v>
      </c>
      <c r="D12" s="32" t="n">
        <v>-834</v>
      </c>
      <c r="E12" s="32" t="n">
        <v>-834</v>
      </c>
      <c r="F12" s="32" t="n">
        <v>1785</v>
      </c>
      <c r="G12" s="32" t="n">
        <v>1785</v>
      </c>
      <c r="H12" s="32" t="n">
        <v>1815</v>
      </c>
      <c r="I12" s="32" t="n">
        <v>1815</v>
      </c>
      <c r="J12" s="32" t="n">
        <v>1372</v>
      </c>
      <c r="K12" s="32" t="n">
        <v>1372</v>
      </c>
      <c r="L12" s="32" t="n">
        <v>3528</v>
      </c>
      <c r="M12" s="32" t="n">
        <v>3528</v>
      </c>
      <c r="N12" s="32" t="n">
        <v>-6818</v>
      </c>
      <c r="O12" s="32" t="n">
        <v>-6818</v>
      </c>
      <c r="P12" s="32" t="n">
        <v>-4764</v>
      </c>
      <c r="Q12" s="32" t="n">
        <v>-4764</v>
      </c>
      <c r="R12" s="32" t="n">
        <v>-3589</v>
      </c>
      <c r="S12" s="32" t="n">
        <v>-3589</v>
      </c>
      <c r="T12" s="32" t="n">
        <v>2184</v>
      </c>
      <c r="U12" s="32" t="n">
        <v>2184</v>
      </c>
      <c r="V12" s="32" t="n">
        <v>-1655</v>
      </c>
      <c r="W12" s="32" t="n">
        <v>-1655</v>
      </c>
      <c r="X12" s="32" t="n">
        <v>-1134</v>
      </c>
      <c r="Y12" s="32" t="n">
        <v>-1134</v>
      </c>
      <c r="Z12" s="32" t="n">
        <v>-1134</v>
      </c>
      <c r="AA12" s="32" t="n">
        <v>-1134</v>
      </c>
      <c r="AB12" s="32" t="n">
        <v>-4294</v>
      </c>
      <c r="AC12" s="32" t="n">
        <v>-4294</v>
      </c>
      <c r="AD12" s="32" t="n">
        <v>-4336</v>
      </c>
      <c r="AE12" s="32" t="n">
        <v>-4336</v>
      </c>
      <c r="AF12" s="32" t="n">
        <v>-2568</v>
      </c>
      <c r="AG12" s="32" t="n">
        <v>-2568</v>
      </c>
      <c r="AH12" s="32" t="n">
        <v>-5106</v>
      </c>
      <c r="AI12" s="32" t="n">
        <v>-5106</v>
      </c>
      <c r="AJ12" s="32" t="n">
        <v>-487</v>
      </c>
      <c r="AK12" s="32" t="n">
        <v>-487</v>
      </c>
      <c r="AL12" s="32" t="n">
        <v>587</v>
      </c>
      <c r="AM12" s="32" t="n">
        <v>587</v>
      </c>
      <c r="AN12" s="32" t="n">
        <v>2330</v>
      </c>
      <c r="AO12" s="32" t="n">
        <v>2330</v>
      </c>
      <c r="AP12" s="32" t="n">
        <v>-1057</v>
      </c>
      <c r="AQ12" s="32" t="n">
        <v>-1057</v>
      </c>
      <c r="AR12" s="32" t="n">
        <v>1872</v>
      </c>
      <c r="AS12" s="32" t="n">
        <v>1872</v>
      </c>
      <c r="AT12" s="32" t="n">
        <v>-3626</v>
      </c>
      <c r="AU12" s="32" t="n">
        <v>-3626</v>
      </c>
      <c r="AV12" s="32" t="n">
        <v>-359</v>
      </c>
      <c r="AW12" s="32" t="n">
        <v>-359</v>
      </c>
      <c r="AX12" s="32" t="n">
        <v>-1428</v>
      </c>
      <c r="AY12" s="32" t="n">
        <v>-1428</v>
      </c>
      <c r="AZ12" s="32" t="n">
        <v>2986</v>
      </c>
      <c r="BA12" s="33" t="n">
        <v>2986</v>
      </c>
      <c r="BB12" s="33" t="n">
        <v>-1150</v>
      </c>
      <c r="BC12" s="33" t="n">
        <v>-1150</v>
      </c>
      <c r="BD12" s="33" t="n">
        <v>53</v>
      </c>
      <c r="BE12" s="33" t="n">
        <v>53</v>
      </c>
      <c r="BF12" s="33" t="n">
        <v>-1092</v>
      </c>
      <c r="BG12" s="33" t="n">
        <v>-1092</v>
      </c>
      <c r="BH12" s="33" t="n">
        <v>-3110</v>
      </c>
      <c r="BI12" s="33" t="n">
        <v>-3110</v>
      </c>
      <c r="BJ12" s="33" t="n">
        <v>-2992</v>
      </c>
      <c r="BK12" s="33" t="n">
        <v>-2992</v>
      </c>
      <c r="BL12" s="32" t="n">
        <v>-1267</v>
      </c>
      <c r="BM12" s="32" t="n">
        <v>-1267</v>
      </c>
      <c r="BN12" s="32" t="n">
        <v>-2042</v>
      </c>
      <c r="BO12" s="32" t="n">
        <v>-2042</v>
      </c>
      <c r="BP12" s="32" t="n">
        <v>-2722</v>
      </c>
      <c r="BQ12" s="32" t="n">
        <v>-2722</v>
      </c>
      <c r="BR12" s="34" t="n">
        <v>-1419</v>
      </c>
      <c r="BS12" s="34" t="n">
        <v>-1419</v>
      </c>
      <c r="BT12" s="34" t="n">
        <v>-4425</v>
      </c>
      <c r="BU12" s="13" t="n">
        <v>-6128</v>
      </c>
      <c r="BV12" s="34" t="n">
        <v>-1369</v>
      </c>
      <c r="BW12" s="34" t="n">
        <v>-1182</v>
      </c>
      <c r="BX12" s="34" t="n">
        <v>-769</v>
      </c>
      <c r="BY12" s="34" t="n">
        <v>-2403</v>
      </c>
      <c r="BZ12" s="34" t="n">
        <v>-3016</v>
      </c>
      <c r="CA12" s="13" t="n">
        <v>-2976</v>
      </c>
      <c r="CB12" s="12" t="n">
        <v>-229</v>
      </c>
      <c r="CC12" s="17" t="n">
        <v>-1625</v>
      </c>
    </row>
    <row r="13">
      <c r="A13" s="3" t="inlineStr">
        <is>
          <t>10</t>
        </is>
      </c>
      <c r="B13" s="2" t="inlineStr">
        <is>
          <t>Financial Services</t>
        </is>
      </c>
      <c r="C13" s="32" t="n">
        <v>471</v>
      </c>
      <c r="D13" s="32" t="n">
        <v>-8119</v>
      </c>
      <c r="E13" s="32" t="n">
        <v>-8119</v>
      </c>
      <c r="F13" s="32" t="n">
        <v>-14790</v>
      </c>
      <c r="G13" s="32" t="n">
        <v>-14790</v>
      </c>
      <c r="H13" s="32" t="n">
        <v>2782</v>
      </c>
      <c r="I13" s="32" t="n">
        <v>2782</v>
      </c>
      <c r="J13" s="32" t="n">
        <v>12253</v>
      </c>
      <c r="K13" s="32" t="n">
        <v>12253</v>
      </c>
      <c r="L13" s="32" t="n">
        <v>14947</v>
      </c>
      <c r="M13" s="32" t="n">
        <v>14947</v>
      </c>
      <c r="N13" s="32" t="n">
        <v>-23274</v>
      </c>
      <c r="O13" s="32" t="n">
        <v>-23274</v>
      </c>
      <c r="P13" s="32" t="n">
        <v>-2865</v>
      </c>
      <c r="Q13" s="32" t="n">
        <v>-2865</v>
      </c>
      <c r="R13" s="32" t="n">
        <v>-7092</v>
      </c>
      <c r="S13" s="32" t="n">
        <v>-7092</v>
      </c>
      <c r="T13" s="32" t="n">
        <v>9597</v>
      </c>
      <c r="U13" s="32" t="n">
        <v>9597</v>
      </c>
      <c r="V13" s="32" t="n">
        <v>7424</v>
      </c>
      <c r="W13" s="32" t="n">
        <v>7424</v>
      </c>
      <c r="X13" s="32" t="n">
        <v>-4338</v>
      </c>
      <c r="Y13" s="32" t="n">
        <v>-4338</v>
      </c>
      <c r="Z13" s="32" t="n">
        <v>-12204</v>
      </c>
      <c r="AA13" s="32" t="n">
        <v>-12204</v>
      </c>
      <c r="AB13" s="32" t="n">
        <v>-12745</v>
      </c>
      <c r="AC13" s="32" t="n">
        <v>-12745</v>
      </c>
      <c r="AD13" s="32" t="n">
        <v>-5344</v>
      </c>
      <c r="AE13" s="32" t="n">
        <v>-5344</v>
      </c>
      <c r="AF13" s="32" t="n">
        <v>-1647</v>
      </c>
      <c r="AG13" s="32" t="n">
        <v>-1647</v>
      </c>
      <c r="AH13" s="32" t="n">
        <v>-3311</v>
      </c>
      <c r="AI13" s="32" t="n">
        <v>-3311</v>
      </c>
      <c r="AJ13" s="32" t="n">
        <v>17585</v>
      </c>
      <c r="AK13" s="32" t="n">
        <v>17585</v>
      </c>
      <c r="AL13" s="32" t="n">
        <v>-4501</v>
      </c>
      <c r="AM13" s="32" t="n">
        <v>-4501</v>
      </c>
      <c r="AN13" s="32" t="n">
        <v>22910</v>
      </c>
      <c r="AO13" s="32" t="n">
        <v>22910</v>
      </c>
      <c r="AP13" s="32" t="n">
        <v>4728</v>
      </c>
      <c r="AQ13" s="32" t="n">
        <v>4728</v>
      </c>
      <c r="AR13" s="32" t="n">
        <v>-700</v>
      </c>
      <c r="AS13" s="32" t="n">
        <v>-700</v>
      </c>
      <c r="AT13" s="32" t="n">
        <v>4685</v>
      </c>
      <c r="AU13" s="32" t="n">
        <v>4685</v>
      </c>
      <c r="AV13" s="32" t="n">
        <v>4261</v>
      </c>
      <c r="AW13" s="32" t="n">
        <v>4261</v>
      </c>
      <c r="AX13" s="32" t="n">
        <v>820</v>
      </c>
      <c r="AY13" s="32" t="n">
        <v>820</v>
      </c>
      <c r="AZ13" s="32" t="n">
        <v>-6720</v>
      </c>
      <c r="BA13" s="33" t="n">
        <v>-6720</v>
      </c>
      <c r="BB13" s="33" t="n">
        <v>-13471</v>
      </c>
      <c r="BC13" s="33" t="n">
        <v>-13471</v>
      </c>
      <c r="BD13" s="33" t="n">
        <v>-9817</v>
      </c>
      <c r="BE13" s="33" t="n">
        <v>-9817</v>
      </c>
      <c r="BF13" s="33" t="n">
        <v>1634</v>
      </c>
      <c r="BG13" s="33" t="n">
        <v>1634</v>
      </c>
      <c r="BH13" s="33" t="n">
        <v>-642</v>
      </c>
      <c r="BI13" s="33" t="n">
        <v>-642</v>
      </c>
      <c r="BJ13" s="33" t="n">
        <v>8276</v>
      </c>
      <c r="BK13" s="33" t="n">
        <v>8276</v>
      </c>
      <c r="BL13" s="32" t="n">
        <v>5003</v>
      </c>
      <c r="BM13" s="32" t="n">
        <v>5003</v>
      </c>
      <c r="BN13" s="32" t="n">
        <v>-2041</v>
      </c>
      <c r="BO13" s="32" t="n">
        <v>-2041</v>
      </c>
      <c r="BP13" s="32" t="n">
        <v>-1137</v>
      </c>
      <c r="BQ13" s="32" t="n">
        <v>-1137</v>
      </c>
      <c r="BR13" s="34" t="n">
        <v>-6516</v>
      </c>
      <c r="BS13" s="34" t="n">
        <v>-6516</v>
      </c>
      <c r="BT13" s="34" t="n">
        <v>-4009</v>
      </c>
      <c r="BU13" s="13" t="n">
        <v>-3190</v>
      </c>
      <c r="BV13" s="34" t="n">
        <v>-5402</v>
      </c>
      <c r="BW13" s="34" t="n">
        <v>6175</v>
      </c>
      <c r="BX13" s="34" t="n">
        <v>2243</v>
      </c>
      <c r="BY13" s="34" t="n">
        <v>-31831</v>
      </c>
      <c r="BZ13" s="34" t="n">
        <v>-28824</v>
      </c>
      <c r="CA13" s="13" t="n">
        <v>-19152</v>
      </c>
      <c r="CB13" s="13" t="n">
        <v>-11704</v>
      </c>
      <c r="CC13" s="16" t="n">
        <v>-17960</v>
      </c>
    </row>
    <row r="14">
      <c r="A14" s="3" t="inlineStr">
        <is>
          <t>11</t>
        </is>
      </c>
      <c r="B14" s="2" t="inlineStr">
        <is>
          <t>Forest Materials</t>
        </is>
      </c>
      <c r="C14" s="32" t="n">
        <v>43</v>
      </c>
      <c r="D14" s="32" t="n">
        <v>107</v>
      </c>
      <c r="E14" s="32" t="n">
        <v>107</v>
      </c>
      <c r="F14" s="32" t="n">
        <v>-76</v>
      </c>
      <c r="G14" s="32" t="n">
        <v>-76</v>
      </c>
      <c r="H14" s="32" t="n">
        <v>-26</v>
      </c>
      <c r="I14" s="32" t="n">
        <v>-26</v>
      </c>
      <c r="J14" s="32" t="n">
        <v>72</v>
      </c>
      <c r="K14" s="32" t="n">
        <v>72</v>
      </c>
      <c r="L14" s="32" t="n">
        <v>-14</v>
      </c>
      <c r="M14" s="32" t="n">
        <v>-14</v>
      </c>
      <c r="N14" s="32" t="n">
        <v>9</v>
      </c>
      <c r="O14" s="32" t="n">
        <v>9</v>
      </c>
      <c r="P14" s="32" t="inlineStr">
        <is>
          <t>-84</t>
        </is>
      </c>
      <c r="Q14" s="32" t="n">
        <v>-84</v>
      </c>
      <c r="R14" s="32" t="n">
        <v>45</v>
      </c>
      <c r="S14" s="32" t="n">
        <v>45</v>
      </c>
      <c r="T14" s="32" t="n">
        <v>29</v>
      </c>
      <c r="U14" s="32" t="n">
        <v>29</v>
      </c>
      <c r="V14" s="32" t="n">
        <v>32</v>
      </c>
      <c r="W14" s="32" t="n">
        <v>32</v>
      </c>
      <c r="X14" s="32" t="n">
        <v>33</v>
      </c>
      <c r="Y14" s="32" t="n">
        <v>33</v>
      </c>
      <c r="Z14" s="32" t="n">
        <v>-80</v>
      </c>
      <c r="AA14" s="32" t="n">
        <v>-80</v>
      </c>
      <c r="AB14" s="32" t="n">
        <v>-35</v>
      </c>
      <c r="AC14" s="32" t="n">
        <v>-35</v>
      </c>
      <c r="AD14" s="32" t="n">
        <v>11</v>
      </c>
      <c r="AE14" s="32" t="n">
        <v>11</v>
      </c>
      <c r="AF14" s="32" t="n">
        <v>-28</v>
      </c>
      <c r="AG14" s="32" t="n">
        <v>-28</v>
      </c>
      <c r="AH14" s="32" t="n">
        <v>-22</v>
      </c>
      <c r="AI14" s="32" t="n">
        <v>-22</v>
      </c>
      <c r="AJ14" s="32" t="n">
        <v>40</v>
      </c>
      <c r="AK14" s="32" t="n">
        <v>40</v>
      </c>
      <c r="AL14" s="32" t="n">
        <v>-19</v>
      </c>
      <c r="AM14" s="32" t="n">
        <v>-19</v>
      </c>
      <c r="AN14" s="32" t="n">
        <v>-15</v>
      </c>
      <c r="AO14" s="32" t="n">
        <v>-15</v>
      </c>
      <c r="AP14" s="32" t="n">
        <v>-12</v>
      </c>
      <c r="AQ14" s="32" t="n">
        <v>-12</v>
      </c>
      <c r="AR14" s="32" t="n">
        <v>21</v>
      </c>
      <c r="AS14" s="32" t="n">
        <v>21</v>
      </c>
      <c r="AT14" s="32" t="n">
        <v>-15</v>
      </c>
      <c r="AU14" s="32" t="n">
        <v>-15</v>
      </c>
      <c r="AV14" s="32" t="n">
        <v>-27</v>
      </c>
      <c r="AW14" s="32" t="n">
        <v>-27</v>
      </c>
      <c r="AX14" s="32" t="n">
        <v>14</v>
      </c>
      <c r="AY14" s="32" t="n">
        <v>14</v>
      </c>
      <c r="AZ14" s="32" t="n">
        <v>25</v>
      </c>
      <c r="BA14" s="33" t="n">
        <v>25</v>
      </c>
      <c r="BB14" s="33" t="n">
        <v>-21</v>
      </c>
      <c r="BC14" s="33" t="n">
        <v>-21</v>
      </c>
      <c r="BD14" s="33" t="n">
        <v>-27</v>
      </c>
      <c r="BE14" s="33" t="n">
        <v>-27</v>
      </c>
      <c r="BF14" s="33" t="n">
        <v>-9</v>
      </c>
      <c r="BG14" s="33" t="n">
        <v>-9</v>
      </c>
      <c r="BH14" s="33" t="n">
        <v>-15</v>
      </c>
      <c r="BI14" s="33" t="n">
        <v>-15</v>
      </c>
      <c r="BJ14" s="33" t="n">
        <v>77</v>
      </c>
      <c r="BK14" s="33" t="n">
        <v>77</v>
      </c>
      <c r="BL14" s="32" t="n">
        <v>17</v>
      </c>
      <c r="BM14" s="32" t="n">
        <v>17</v>
      </c>
      <c r="BN14" s="32" t="n">
        <v>-12</v>
      </c>
      <c r="BO14" s="32" t="n">
        <v>-12</v>
      </c>
      <c r="BP14" s="32" t="n">
        <v>-19</v>
      </c>
      <c r="BQ14" s="32" t="n">
        <v>-19</v>
      </c>
      <c r="BR14" s="34" t="n">
        <v>-54</v>
      </c>
      <c r="BS14" s="34" t="n">
        <v>-54</v>
      </c>
      <c r="BT14" s="34" t="n">
        <v>0</v>
      </c>
      <c r="BU14" s="12" t="n">
        <v>-10</v>
      </c>
      <c r="BV14" s="34" t="n">
        <v>12</v>
      </c>
      <c r="BW14" s="34" t="n">
        <v>30</v>
      </c>
      <c r="BX14" s="34" t="n">
        <v>8</v>
      </c>
      <c r="BY14" s="34" t="n">
        <v>-4</v>
      </c>
      <c r="BZ14" s="34" t="n">
        <v>-13</v>
      </c>
      <c r="CA14" s="12" t="n">
        <v>-19</v>
      </c>
      <c r="CB14" s="12" t="n">
        <v>73</v>
      </c>
      <c r="CC14" s="14" t="n">
        <v>-41</v>
      </c>
    </row>
    <row r="15">
      <c r="A15" s="3" t="inlineStr">
        <is>
          <t>12</t>
        </is>
      </c>
      <c r="B15" s="2" t="inlineStr">
        <is>
          <t>Healthcare</t>
        </is>
      </c>
      <c r="C15" s="32" t="n">
        <v>2378</v>
      </c>
      <c r="D15" s="32" t="n">
        <v>2676</v>
      </c>
      <c r="E15" s="32" t="n">
        <v>2676</v>
      </c>
      <c r="F15" s="32" t="n">
        <v>3462</v>
      </c>
      <c r="G15" s="32" t="n">
        <v>3462</v>
      </c>
      <c r="H15" s="32" t="n">
        <v>2369</v>
      </c>
      <c r="I15" s="32" t="n">
        <v>2369</v>
      </c>
      <c r="J15" s="32" t="n">
        <v>3652</v>
      </c>
      <c r="K15" s="32" t="n">
        <v>3652</v>
      </c>
      <c r="L15" s="32" t="n">
        <v>2987</v>
      </c>
      <c r="M15" s="32" t="n">
        <v>2987</v>
      </c>
      <c r="N15" s="32" t="n">
        <v>-2376</v>
      </c>
      <c r="O15" s="32" t="n">
        <v>-2376</v>
      </c>
      <c r="P15" s="32" t="n">
        <v>2321</v>
      </c>
      <c r="Q15" s="32" t="n">
        <v>2321</v>
      </c>
      <c r="R15" s="32" t="n">
        <v>734</v>
      </c>
      <c r="S15" s="32" t="n">
        <v>734</v>
      </c>
      <c r="T15" s="32" t="n">
        <v>-254</v>
      </c>
      <c r="U15" s="32" t="n">
        <v>-254</v>
      </c>
      <c r="V15" s="32" t="n">
        <v>1917</v>
      </c>
      <c r="W15" s="32" t="n">
        <v>1917</v>
      </c>
      <c r="X15" s="32" t="n">
        <v>1850</v>
      </c>
      <c r="Y15" s="32" t="n">
        <v>1850</v>
      </c>
      <c r="Z15" s="32" t="n">
        <v>-1460</v>
      </c>
      <c r="AA15" s="32" t="n">
        <v>-1460</v>
      </c>
      <c r="AB15" s="32" t="n">
        <v>-2912</v>
      </c>
      <c r="AC15" s="32" t="n">
        <v>-2912</v>
      </c>
      <c r="AD15" s="32" t="n">
        <v>1534</v>
      </c>
      <c r="AE15" s="32" t="n">
        <v>1534</v>
      </c>
      <c r="AF15" s="32" t="n">
        <v>-2996</v>
      </c>
      <c r="AG15" s="32" t="n">
        <v>-2996</v>
      </c>
      <c r="AH15" s="32" t="n">
        <v>-2049</v>
      </c>
      <c r="AI15" s="32" t="n">
        <v>-2049</v>
      </c>
      <c r="AJ15" s="32" t="n">
        <v>2138</v>
      </c>
      <c r="AK15" s="32" t="n">
        <v>2138</v>
      </c>
      <c r="AL15" s="32" t="n">
        <v>-1384</v>
      </c>
      <c r="AM15" s="32" t="n">
        <v>-1384</v>
      </c>
      <c r="AN15" s="32" t="n">
        <v>656</v>
      </c>
      <c r="AO15" s="32" t="n">
        <v>656</v>
      </c>
      <c r="AP15" s="32" t="n">
        <v>-606</v>
      </c>
      <c r="AQ15" s="32" t="n">
        <v>-606</v>
      </c>
      <c r="AR15" s="32" t="n">
        <v>-2008</v>
      </c>
      <c r="AS15" s="32" t="n">
        <v>-2008</v>
      </c>
      <c r="AT15" s="32" t="n">
        <v>39</v>
      </c>
      <c r="AU15" s="32" t="n">
        <v>39</v>
      </c>
      <c r="AV15" s="32" t="n">
        <v>-442</v>
      </c>
      <c r="AW15" s="32" t="n">
        <v>-442</v>
      </c>
      <c r="AX15" s="32" t="n">
        <v>-757</v>
      </c>
      <c r="AY15" s="32" t="n">
        <v>-757</v>
      </c>
      <c r="AZ15" s="32" t="n">
        <v>700</v>
      </c>
      <c r="BA15" s="33" t="n">
        <v>700</v>
      </c>
      <c r="BB15" s="33" t="n">
        <v>-2095</v>
      </c>
      <c r="BC15" s="33" t="n">
        <v>-2095</v>
      </c>
      <c r="BD15" s="33" t="n">
        <v>678</v>
      </c>
      <c r="BE15" s="33" t="n">
        <v>678</v>
      </c>
      <c r="BF15" s="33" t="n">
        <v>-1601</v>
      </c>
      <c r="BG15" s="33" t="n">
        <v>-1601</v>
      </c>
      <c r="BH15" s="33" t="n">
        <v>-4521</v>
      </c>
      <c r="BI15" s="33" t="n">
        <v>-4521</v>
      </c>
      <c r="BJ15" s="33" t="n">
        <v>-2739</v>
      </c>
      <c r="BK15" s="33" t="n">
        <v>-2739</v>
      </c>
      <c r="BL15" s="32" t="n">
        <v>-365</v>
      </c>
      <c r="BM15" s="32" t="n">
        <v>-365</v>
      </c>
      <c r="BN15" s="32" t="n">
        <v>-2526</v>
      </c>
      <c r="BO15" s="32" t="n">
        <v>-2526</v>
      </c>
      <c r="BP15" s="32" t="n">
        <v>743</v>
      </c>
      <c r="BQ15" s="32" t="n">
        <v>743</v>
      </c>
      <c r="BR15" s="34" t="n">
        <v>-2351</v>
      </c>
      <c r="BS15" s="34" t="n">
        <v>-2351</v>
      </c>
      <c r="BT15" s="34" t="n">
        <v>-643</v>
      </c>
      <c r="BU15" s="13" t="n">
        <v>-1049</v>
      </c>
      <c r="BV15" s="34" t="n">
        <v>-5113</v>
      </c>
      <c r="BW15" s="34" t="n">
        <v>-1051</v>
      </c>
      <c r="BX15" s="34" t="n">
        <v>722</v>
      </c>
      <c r="BY15" s="34" t="n">
        <v>-2436</v>
      </c>
      <c r="BZ15" s="34" t="n">
        <v>-2202</v>
      </c>
      <c r="CA15" s="13" t="n">
        <v>-4481</v>
      </c>
      <c r="CB15" s="13" t="n">
        <v>-2445</v>
      </c>
      <c r="CC15" s="15" t="n">
        <v>-418</v>
      </c>
    </row>
    <row r="16">
      <c r="A16" s="3" t="inlineStr">
        <is>
          <t>13</t>
        </is>
      </c>
      <c r="B16" s="2" t="inlineStr">
        <is>
          <t>Information Technology</t>
        </is>
      </c>
      <c r="C16" s="32" t="n">
        <v>2765</v>
      </c>
      <c r="D16" s="32" t="n">
        <v>8998</v>
      </c>
      <c r="E16" s="32" t="n">
        <v>8998</v>
      </c>
      <c r="F16" s="32" t="n">
        <v>-493</v>
      </c>
      <c r="G16" s="32" t="n">
        <v>-493</v>
      </c>
      <c r="H16" s="32" t="n">
        <v>4529</v>
      </c>
      <c r="I16" s="32" t="n">
        <v>4529</v>
      </c>
      <c r="J16" s="32" t="n">
        <v>48</v>
      </c>
      <c r="K16" s="32" t="n">
        <v>48</v>
      </c>
      <c r="L16" s="32" t="n">
        <v>-1267</v>
      </c>
      <c r="M16" s="32" t="n">
        <v>-1267</v>
      </c>
      <c r="N16" s="32" t="n">
        <v>-2727</v>
      </c>
      <c r="O16" s="32" t="n">
        <v>-2727</v>
      </c>
      <c r="P16" s="32" t="n">
        <v>-172</v>
      </c>
      <c r="Q16" s="32" t="n">
        <v>-172</v>
      </c>
      <c r="R16" s="32" t="n">
        <v>3087</v>
      </c>
      <c r="S16" s="32" t="n">
        <v>3087</v>
      </c>
      <c r="T16" s="32" t="n">
        <v>2429</v>
      </c>
      <c r="U16" s="32" t="n">
        <v>2429</v>
      </c>
      <c r="V16" s="32" t="n">
        <v>6754</v>
      </c>
      <c r="W16" s="32" t="n">
        <v>6754</v>
      </c>
      <c r="X16" s="32" t="n">
        <v>2296</v>
      </c>
      <c r="Y16" s="32" t="n">
        <v>2296</v>
      </c>
      <c r="Z16" s="32" t="n">
        <v>-1927</v>
      </c>
      <c r="AA16" s="32" t="n">
        <v>-1927</v>
      </c>
      <c r="AB16" s="32" t="n">
        <v>-4544</v>
      </c>
      <c r="AC16" s="32" t="n">
        <v>-4544</v>
      </c>
      <c r="AD16" s="32" t="n">
        <v>693</v>
      </c>
      <c r="AE16" s="32" t="n">
        <v>693</v>
      </c>
      <c r="AF16" s="32" t="n">
        <v>112</v>
      </c>
      <c r="AG16" s="32" t="n">
        <v>112</v>
      </c>
      <c r="AH16" s="32" t="n">
        <v>-6934</v>
      </c>
      <c r="AI16" s="32" t="n">
        <v>-6934</v>
      </c>
      <c r="AJ16" s="32" t="n">
        <v>-1517</v>
      </c>
      <c r="AK16" s="32" t="n">
        <v>-1517</v>
      </c>
      <c r="AL16" s="32" t="n">
        <v>-13828</v>
      </c>
      <c r="AM16" s="32" t="n">
        <v>-13828</v>
      </c>
      <c r="AN16" s="32" t="n">
        <v>-1385</v>
      </c>
      <c r="AO16" s="32" t="n">
        <v>-1385</v>
      </c>
      <c r="AP16" s="32" t="n">
        <v>289</v>
      </c>
      <c r="AQ16" s="32" t="n">
        <v>289</v>
      </c>
      <c r="AR16" s="32" t="n">
        <v>-2725</v>
      </c>
      <c r="AS16" s="32" t="n">
        <v>-2725</v>
      </c>
      <c r="AT16" s="32" t="n">
        <v>-1713</v>
      </c>
      <c r="AU16" s="32" t="n">
        <v>-1713</v>
      </c>
      <c r="AV16" s="32" t="n">
        <v>2879</v>
      </c>
      <c r="AW16" s="32" t="n">
        <v>2879</v>
      </c>
      <c r="AX16" s="32" t="n">
        <v>-5479</v>
      </c>
      <c r="AY16" s="32" t="n">
        <v>-5479</v>
      </c>
      <c r="AZ16" s="32" t="n">
        <v>-14422</v>
      </c>
      <c r="BA16" s="33" t="n">
        <v>-14422</v>
      </c>
      <c r="BB16" s="33" t="n">
        <v>-6380</v>
      </c>
      <c r="BC16" s="33" t="n">
        <v>-6380</v>
      </c>
      <c r="BD16" s="33" t="n">
        <v>-4905</v>
      </c>
      <c r="BE16" s="33" t="n">
        <v>-4905</v>
      </c>
      <c r="BF16" s="33" t="n">
        <v>-2014</v>
      </c>
      <c r="BG16" s="33" t="n">
        <v>-2014</v>
      </c>
      <c r="BH16" s="33" t="n">
        <v>-4036</v>
      </c>
      <c r="BI16" s="33" t="n">
        <v>-4036</v>
      </c>
      <c r="BJ16" s="33" t="n">
        <v>-1927</v>
      </c>
      <c r="BK16" s="33" t="n">
        <v>-1927</v>
      </c>
      <c r="BL16" s="32" t="n">
        <v>-267</v>
      </c>
      <c r="BM16" s="32" t="n">
        <v>-267</v>
      </c>
      <c r="BN16" s="32" t="n">
        <v>-4873</v>
      </c>
      <c r="BO16" s="32" t="n">
        <v>-4873</v>
      </c>
      <c r="BP16" s="32" t="n">
        <v>-921</v>
      </c>
      <c r="BQ16" s="32" t="n">
        <v>-921</v>
      </c>
      <c r="BR16" s="34" t="n">
        <v>-3331</v>
      </c>
      <c r="BS16" s="34" t="n">
        <v>-3331</v>
      </c>
      <c r="BT16" s="34" t="n">
        <v>4457</v>
      </c>
      <c r="BU16" s="13" t="n">
        <v>-2075</v>
      </c>
      <c r="BV16" s="34" t="n">
        <v>240</v>
      </c>
      <c r="BW16" s="34" t="n">
        <v>-10956</v>
      </c>
      <c r="BX16" s="34" t="n">
        <v>-5993</v>
      </c>
      <c r="BY16" s="34" t="n">
        <v>-1263</v>
      </c>
      <c r="BZ16" s="34" t="n">
        <v>-611</v>
      </c>
      <c r="CA16" s="13" t="n">
        <v>-1325</v>
      </c>
      <c r="CB16" s="13" t="n">
        <v>-2887</v>
      </c>
      <c r="CC16" s="17" t="n">
        <v>-1643</v>
      </c>
    </row>
    <row r="17">
      <c r="A17" s="3" t="inlineStr">
        <is>
          <t>14</t>
        </is>
      </c>
      <c r="B17" s="2" t="inlineStr">
        <is>
          <t>Media, Entertainment &amp; Publication</t>
        </is>
      </c>
      <c r="C17" s="32" t="n">
        <v>338</v>
      </c>
      <c r="D17" s="32" t="n">
        <v>136</v>
      </c>
      <c r="E17" s="32" t="n">
        <v>136</v>
      </c>
      <c r="F17" s="32" t="n">
        <v>-18</v>
      </c>
      <c r="G17" s="32" t="n">
        <v>-18</v>
      </c>
      <c r="H17" s="32" t="n">
        <v>-180</v>
      </c>
      <c r="I17" s="32" t="n">
        <v>-180</v>
      </c>
      <c r="J17" s="32" t="n">
        <v>143</v>
      </c>
      <c r="K17" s="32" t="n">
        <v>143</v>
      </c>
      <c r="L17" s="32" t="n">
        <v>-25</v>
      </c>
      <c r="M17" s="32" t="n">
        <v>-25</v>
      </c>
      <c r="N17" s="32" t="n">
        <v>-85</v>
      </c>
      <c r="O17" s="32" t="n">
        <v>-85</v>
      </c>
      <c r="P17" s="32" t="n">
        <v>72</v>
      </c>
      <c r="Q17" s="32" t="n">
        <v>72</v>
      </c>
      <c r="R17" s="32" t="n">
        <v>52</v>
      </c>
      <c r="S17" s="32" t="n">
        <v>52</v>
      </c>
      <c r="T17" s="32" t="n">
        <v>-55</v>
      </c>
      <c r="U17" s="32" t="n">
        <v>-55</v>
      </c>
      <c r="V17" s="32" t="n">
        <v>15</v>
      </c>
      <c r="W17" s="32" t="n">
        <v>15</v>
      </c>
      <c r="X17" s="32" t="n">
        <v>110</v>
      </c>
      <c r="Y17" s="32" t="n">
        <v>110</v>
      </c>
      <c r="Z17" s="32" t="n">
        <v>177</v>
      </c>
      <c r="AA17" s="32" t="n">
        <v>177</v>
      </c>
      <c r="AB17" s="32" t="n">
        <v>3</v>
      </c>
      <c r="AC17" s="32" t="n">
        <v>3</v>
      </c>
      <c r="AD17" s="32" t="n">
        <v>-12</v>
      </c>
      <c r="AE17" s="32" t="n">
        <v>-12</v>
      </c>
      <c r="AF17" s="32" t="n">
        <v>34</v>
      </c>
      <c r="AG17" s="32" t="n">
        <v>34</v>
      </c>
      <c r="AH17" s="32" t="n">
        <v>143</v>
      </c>
      <c r="AI17" s="32" t="n">
        <v>143</v>
      </c>
      <c r="AJ17" s="32" t="n">
        <v>303</v>
      </c>
      <c r="AK17" s="32" t="n">
        <v>303</v>
      </c>
      <c r="AL17" s="32" t="n">
        <v>103</v>
      </c>
      <c r="AM17" s="32" t="n">
        <v>103</v>
      </c>
      <c r="AN17" s="32" t="n">
        <v>9</v>
      </c>
      <c r="AO17" s="32" t="n">
        <v>9</v>
      </c>
      <c r="AP17" s="32" t="n">
        <v>92</v>
      </c>
      <c r="AQ17" s="32" t="n">
        <v>92</v>
      </c>
      <c r="AR17" s="32" t="n">
        <v>45</v>
      </c>
      <c r="AS17" s="32" t="n">
        <v>45</v>
      </c>
      <c r="AT17" s="32" t="n">
        <v>108</v>
      </c>
      <c r="AU17" s="32" t="n">
        <v>108</v>
      </c>
      <c r="AV17" s="32" t="n">
        <v>-74</v>
      </c>
      <c r="AW17" s="32" t="n">
        <v>-74</v>
      </c>
      <c r="AX17" s="32" t="n">
        <v>-91</v>
      </c>
      <c r="AY17" s="32" t="n">
        <v>-91</v>
      </c>
      <c r="AZ17" s="32" t="n">
        <v>-106</v>
      </c>
      <c r="BA17" s="33" t="n">
        <v>-106</v>
      </c>
      <c r="BB17" s="33" t="n">
        <v>-14</v>
      </c>
      <c r="BC17" s="33" t="n">
        <v>-14</v>
      </c>
      <c r="BD17" s="33" t="n">
        <v>179</v>
      </c>
      <c r="BE17" s="33" t="n">
        <v>179</v>
      </c>
      <c r="BF17" s="33" t="n">
        <v>-16</v>
      </c>
      <c r="BG17" s="33" t="n">
        <v>-16</v>
      </c>
      <c r="BH17" s="33" t="n">
        <v>93</v>
      </c>
      <c r="BI17" s="33" t="n">
        <v>93</v>
      </c>
      <c r="BJ17" s="33" t="n">
        <v>87</v>
      </c>
      <c r="BK17" s="33" t="n">
        <v>87</v>
      </c>
      <c r="BL17" s="32" t="n">
        <v>-133</v>
      </c>
      <c r="BM17" s="32" t="n">
        <v>-133</v>
      </c>
      <c r="BN17" s="32" t="n">
        <v>-148</v>
      </c>
      <c r="BO17" s="32" t="n">
        <v>-148</v>
      </c>
      <c r="BP17" s="32" t="n">
        <v>-161</v>
      </c>
      <c r="BQ17" s="32" t="n">
        <v>-161</v>
      </c>
      <c r="BR17" s="34" t="n">
        <v>-39</v>
      </c>
      <c r="BS17" s="34" t="n">
        <v>-39</v>
      </c>
      <c r="BT17" s="34" t="n">
        <v>-281</v>
      </c>
      <c r="BU17" s="12" t="n">
        <v>-123</v>
      </c>
      <c r="BV17" s="34" t="n">
        <v>-55</v>
      </c>
      <c r="BW17" s="34" t="n">
        <v>134</v>
      </c>
      <c r="BX17" s="34" t="n">
        <v>-62</v>
      </c>
      <c r="BY17" s="34" t="n">
        <v>-57</v>
      </c>
      <c r="BZ17" s="34" t="n">
        <v>40</v>
      </c>
      <c r="CA17" s="12" t="n">
        <v>-59</v>
      </c>
      <c r="CB17" s="12" t="n">
        <v>-149</v>
      </c>
      <c r="CC17" s="15" t="n">
        <v>-12</v>
      </c>
    </row>
    <row r="18">
      <c r="A18" s="3" t="inlineStr">
        <is>
          <t>15</t>
        </is>
      </c>
      <c r="B18" s="2" t="inlineStr">
        <is>
          <t>Metals &amp; Mining</t>
        </is>
      </c>
      <c r="C18" s="32" t="n">
        <v>1969</v>
      </c>
      <c r="D18" s="32" t="n">
        <v>5341</v>
      </c>
      <c r="E18" s="32" t="n">
        <v>5341</v>
      </c>
      <c r="F18" s="32" t="n">
        <v>-2668</v>
      </c>
      <c r="G18" s="32" t="n">
        <v>-2668</v>
      </c>
      <c r="H18" s="32" t="n">
        <v>-1105</v>
      </c>
      <c r="I18" s="32" t="n">
        <v>-1105</v>
      </c>
      <c r="J18" s="32" t="n">
        <v>-1857</v>
      </c>
      <c r="K18" s="32" t="n">
        <v>-1857</v>
      </c>
      <c r="L18" s="32" t="n">
        <v>3012</v>
      </c>
      <c r="M18" s="32" t="n">
        <v>3012</v>
      </c>
      <c r="N18" s="32" t="n">
        <v>222</v>
      </c>
      <c r="O18" s="32" t="n">
        <v>222</v>
      </c>
      <c r="P18" s="32" t="n">
        <v>-75</v>
      </c>
      <c r="Q18" s="32" t="n">
        <v>-75</v>
      </c>
      <c r="R18" s="32" t="n">
        <v>-1291</v>
      </c>
      <c r="S18" s="32" t="n">
        <v>-1291</v>
      </c>
      <c r="T18" s="32" t="n">
        <v>86</v>
      </c>
      <c r="U18" s="32" t="n">
        <v>86</v>
      </c>
      <c r="V18" s="32" t="n">
        <v>847</v>
      </c>
      <c r="W18" s="32" t="n">
        <v>847</v>
      </c>
      <c r="X18" s="32" t="n">
        <v>124</v>
      </c>
      <c r="Y18" s="32" t="n">
        <v>124</v>
      </c>
      <c r="Z18" s="32" t="n">
        <v>-1997</v>
      </c>
      <c r="AA18" s="32" t="n">
        <v>-1997</v>
      </c>
      <c r="AB18" s="32" t="n">
        <v>-385</v>
      </c>
      <c r="AC18" s="32" t="n">
        <v>-385</v>
      </c>
      <c r="AD18" s="32" t="n">
        <v>-558</v>
      </c>
      <c r="AE18" s="32" t="n">
        <v>-558</v>
      </c>
      <c r="AF18" s="32" t="n">
        <v>-606</v>
      </c>
      <c r="AG18" s="32" t="n">
        <v>-606</v>
      </c>
      <c r="AH18" s="32" t="n">
        <v>1179</v>
      </c>
      <c r="AI18" s="32" t="n">
        <v>1179</v>
      </c>
      <c r="AJ18" s="32" t="n">
        <v>722</v>
      </c>
      <c r="AK18" s="32" t="n">
        <v>722</v>
      </c>
      <c r="AL18" s="32" t="n">
        <v>-2829</v>
      </c>
      <c r="AM18" s="32" t="n">
        <v>-2829</v>
      </c>
      <c r="AN18" s="32" t="n">
        <v>-574</v>
      </c>
      <c r="AO18" s="32" t="n">
        <v>-574</v>
      </c>
      <c r="AP18" s="32" t="n">
        <v>104</v>
      </c>
      <c r="AQ18" s="32" t="n">
        <v>104</v>
      </c>
      <c r="AR18" s="32" t="n">
        <v>-34</v>
      </c>
      <c r="AS18" s="32" t="n">
        <v>-34</v>
      </c>
      <c r="AT18" s="32" t="n">
        <v>-558</v>
      </c>
      <c r="AU18" s="32" t="n">
        <v>-558</v>
      </c>
      <c r="AV18" s="32" t="n">
        <v>201</v>
      </c>
      <c r="AW18" s="32" t="n">
        <v>201</v>
      </c>
      <c r="AX18" s="32" t="n">
        <v>1724</v>
      </c>
      <c r="AY18" s="32" t="n">
        <v>1724</v>
      </c>
      <c r="AZ18" s="32" t="n">
        <v>1641</v>
      </c>
      <c r="BA18" s="33" t="n">
        <v>1641</v>
      </c>
      <c r="BB18" s="33" t="n">
        <v>606</v>
      </c>
      <c r="BC18" s="33" t="n">
        <v>606</v>
      </c>
      <c r="BD18" s="33" t="n">
        <v>-1266</v>
      </c>
      <c r="BE18" s="33" t="n">
        <v>-1266</v>
      </c>
      <c r="BF18" s="33" t="n">
        <v>1394</v>
      </c>
      <c r="BG18" s="33" t="n">
        <v>1394</v>
      </c>
      <c r="BH18" s="33" t="n">
        <v>446</v>
      </c>
      <c r="BI18" s="33" t="n">
        <v>446</v>
      </c>
      <c r="BJ18" s="33" t="n">
        <v>1395</v>
      </c>
      <c r="BK18" s="33" t="n">
        <v>1395</v>
      </c>
      <c r="BL18" s="32" t="n">
        <v>1752</v>
      </c>
      <c r="BM18" s="32" t="n">
        <v>1752</v>
      </c>
      <c r="BN18" s="32" t="n">
        <v>-109</v>
      </c>
      <c r="BO18" s="32" t="n">
        <v>-109</v>
      </c>
      <c r="BP18" s="32" t="n">
        <v>-571</v>
      </c>
      <c r="BQ18" s="32" t="n">
        <v>-571</v>
      </c>
      <c r="BR18" s="34" t="n">
        <v>807</v>
      </c>
      <c r="BS18" s="34" t="n">
        <v>807</v>
      </c>
      <c r="BT18" s="34" t="n">
        <v>2177</v>
      </c>
      <c r="BU18" s="13" t="n">
        <v>2689</v>
      </c>
      <c r="BV18" s="34" t="n">
        <v>8837</v>
      </c>
      <c r="BW18" s="34" t="n">
        <v>3279</v>
      </c>
      <c r="BX18" s="34" t="n">
        <v>2359</v>
      </c>
      <c r="BY18" s="34" t="n">
        <v>876</v>
      </c>
      <c r="BZ18" s="34" t="n">
        <v>-4041</v>
      </c>
      <c r="CA18" s="13" t="n">
        <v>-1198</v>
      </c>
      <c r="CB18" s="13" t="n">
        <v>2416</v>
      </c>
      <c r="CC18" s="17" t="n">
        <v>1698</v>
      </c>
    </row>
    <row r="19">
      <c r="A19" s="3" t="inlineStr">
        <is>
          <t>16</t>
        </is>
      </c>
      <c r="B19" s="2" t="inlineStr">
        <is>
          <t>Oil, Gas &amp; Consumable Fuels</t>
        </is>
      </c>
      <c r="C19" s="32" t="n">
        <v>1944</v>
      </c>
      <c r="D19" s="32" t="n">
        <v>-325</v>
      </c>
      <c r="E19" s="32" t="n">
        <v>-325</v>
      </c>
      <c r="F19" s="32" t="n">
        <v>-1311</v>
      </c>
      <c r="G19" s="32" t="n">
        <v>-1311</v>
      </c>
      <c r="H19" s="32" t="n">
        <v>2518</v>
      </c>
      <c r="I19" s="32" t="n">
        <v>2518</v>
      </c>
      <c r="J19" s="32" t="n">
        <v>1672</v>
      </c>
      <c r="K19" s="32" t="n">
        <v>1672</v>
      </c>
      <c r="L19" s="32" t="n">
        <v>-2312</v>
      </c>
      <c r="M19" s="32" t="n">
        <v>-2312</v>
      </c>
      <c r="N19" s="32" t="n">
        <v>-12371</v>
      </c>
      <c r="O19" s="32" t="n">
        <v>-12371</v>
      </c>
      <c r="P19" s="32" t="n">
        <v>-9073</v>
      </c>
      <c r="Q19" s="32" t="n">
        <v>-9073</v>
      </c>
      <c r="R19" s="32" t="n">
        <v>-7214</v>
      </c>
      <c r="S19" s="32" t="n">
        <v>-7214</v>
      </c>
      <c r="T19" s="32" t="n">
        <v>-6132</v>
      </c>
      <c r="U19" s="32" t="n">
        <v>-6132</v>
      </c>
      <c r="V19" s="32" t="n">
        <v>-5337</v>
      </c>
      <c r="W19" s="32" t="n">
        <v>-5337</v>
      </c>
      <c r="X19" s="32" t="n">
        <v>-5489</v>
      </c>
      <c r="Y19" s="32" t="n">
        <v>-5489</v>
      </c>
      <c r="Z19" s="32" t="n">
        <v>-1203</v>
      </c>
      <c r="AA19" s="32" t="n">
        <v>-1203</v>
      </c>
      <c r="AB19" s="32" t="n">
        <v>-369</v>
      </c>
      <c r="AC19" s="32" t="n">
        <v>-369</v>
      </c>
      <c r="AD19" s="32" t="n">
        <v>-2434</v>
      </c>
      <c r="AE19" s="32" t="n">
        <v>-2434</v>
      </c>
      <c r="AF19" s="32" t="n">
        <v>-943</v>
      </c>
      <c r="AG19" s="32" t="n">
        <v>-943</v>
      </c>
      <c r="AH19" s="32" t="n">
        <v>-970</v>
      </c>
      <c r="AI19" s="32" t="n">
        <v>-970</v>
      </c>
      <c r="AJ19" s="32" t="n">
        <v>-2449</v>
      </c>
      <c r="AK19" s="32" t="n">
        <v>-2449</v>
      </c>
      <c r="AL19" s="32" t="n">
        <v>-2759</v>
      </c>
      <c r="AM19" s="32" t="n">
        <v>-2759</v>
      </c>
      <c r="AN19" s="32" t="n">
        <v>2401</v>
      </c>
      <c r="AO19" s="32" t="n">
        <v>2401</v>
      </c>
      <c r="AP19" s="32" t="n">
        <v>2130</v>
      </c>
      <c r="AQ19" s="32" t="n">
        <v>2130</v>
      </c>
      <c r="AR19" s="32" t="n">
        <v>390</v>
      </c>
      <c r="AS19" s="32" t="n">
        <v>390</v>
      </c>
      <c r="AT19" s="32" t="n">
        <v>1199</v>
      </c>
      <c r="AU19" s="32" t="n">
        <v>1199</v>
      </c>
      <c r="AV19" s="32" t="n">
        <v>4938</v>
      </c>
      <c r="AW19" s="32" t="n">
        <v>4938</v>
      </c>
      <c r="AX19" s="32" t="n">
        <v>905</v>
      </c>
      <c r="AY19" s="32" t="n">
        <v>905</v>
      </c>
      <c r="AZ19" s="32" t="n">
        <v>-4177</v>
      </c>
      <c r="BA19" s="33" t="n">
        <v>-4177</v>
      </c>
      <c r="BB19" s="33" t="n">
        <v>-4091</v>
      </c>
      <c r="BC19" s="33" t="n">
        <v>-4091</v>
      </c>
      <c r="BD19" s="33" t="n">
        <v>-2017</v>
      </c>
      <c r="BE19" s="33" t="n">
        <v>-2017</v>
      </c>
      <c r="BF19" s="33" t="n">
        <v>-1502</v>
      </c>
      <c r="BG19" s="33" t="n">
        <v>-1502</v>
      </c>
      <c r="BH19" s="33" t="n">
        <v>728</v>
      </c>
      <c r="BI19" s="33" t="n">
        <v>728</v>
      </c>
      <c r="BJ19" s="33" t="n">
        <v>1086</v>
      </c>
      <c r="BK19" s="33" t="n">
        <v>1086</v>
      </c>
      <c r="BL19" s="32" t="n">
        <v>8043</v>
      </c>
      <c r="BM19" s="32" t="n">
        <v>8043</v>
      </c>
      <c r="BN19" s="32" t="n">
        <v>2992</v>
      </c>
      <c r="BO19" s="32" t="n">
        <v>2992</v>
      </c>
      <c r="BP19" s="32" t="n">
        <v>4177</v>
      </c>
      <c r="BQ19" s="32" t="n">
        <v>4177</v>
      </c>
      <c r="BR19" s="34" t="n">
        <v>3001</v>
      </c>
      <c r="BS19" s="34" t="n">
        <v>3001</v>
      </c>
      <c r="BT19" s="34" t="n">
        <v>-645</v>
      </c>
      <c r="BU19" s="12" t="n">
        <v>-549</v>
      </c>
      <c r="BV19" s="34" t="n">
        <v>-391</v>
      </c>
      <c r="BW19" s="34" t="n">
        <v>4678</v>
      </c>
      <c r="BX19" s="34" t="n">
        <v>703</v>
      </c>
      <c r="BY19" s="34" t="n">
        <v>-2932</v>
      </c>
      <c r="BZ19" s="34" t="n">
        <v>-1197</v>
      </c>
      <c r="CA19" s="13" t="n">
        <v>-3352</v>
      </c>
      <c r="CB19" s="13" t="n">
        <v>-3351</v>
      </c>
      <c r="CC19" s="16" t="n">
        <v>-6885</v>
      </c>
    </row>
    <row r="20">
      <c r="A20" s="3" t="inlineStr">
        <is>
          <t>17</t>
        </is>
      </c>
      <c r="B20" s="2" t="inlineStr">
        <is>
          <t>Power</t>
        </is>
      </c>
      <c r="C20" s="32" t="n">
        <v>-891</v>
      </c>
      <c r="D20" s="32" t="n">
        <v>-2905</v>
      </c>
      <c r="E20" s="32" t="n">
        <v>-2905</v>
      </c>
      <c r="F20" s="32" t="n">
        <v>1169</v>
      </c>
      <c r="G20" s="32" t="n">
        <v>1169</v>
      </c>
      <c r="H20" s="32" t="n">
        <v>-2305</v>
      </c>
      <c r="I20" s="32" t="n">
        <v>-2305</v>
      </c>
      <c r="J20" s="32" t="n">
        <v>1167</v>
      </c>
      <c r="K20" s="32" t="n">
        <v>1167</v>
      </c>
      <c r="L20" s="32" t="n">
        <v>242</v>
      </c>
      <c r="M20" s="32" t="n">
        <v>242</v>
      </c>
      <c r="N20" s="32" t="n">
        <v>-2678</v>
      </c>
      <c r="O20" s="32" t="n">
        <v>-2678</v>
      </c>
      <c r="P20" s="32" t="n">
        <v>1168</v>
      </c>
      <c r="Q20" s="32" t="n">
        <v>1168</v>
      </c>
      <c r="R20" s="32" t="n">
        <v>-906</v>
      </c>
      <c r="S20" s="32" t="n">
        <v>-906</v>
      </c>
      <c r="T20" s="32" t="n">
        <v>109</v>
      </c>
      <c r="U20" s="32" t="n">
        <v>109</v>
      </c>
      <c r="V20" s="32" t="n">
        <v>-552</v>
      </c>
      <c r="W20" s="32" t="n">
        <v>-552</v>
      </c>
      <c r="X20" s="32" t="n">
        <v>-1310</v>
      </c>
      <c r="Y20" s="32" t="n">
        <v>-1310</v>
      </c>
      <c r="Z20" s="32" t="n">
        <v>-3115</v>
      </c>
      <c r="AA20" s="32" t="n">
        <v>-3115</v>
      </c>
      <c r="AB20" s="32" t="n">
        <v>-1083</v>
      </c>
      <c r="AC20" s="32" t="n">
        <v>-1083</v>
      </c>
      <c r="AD20" s="32" t="n">
        <v>-1852</v>
      </c>
      <c r="AE20" s="32" t="n">
        <v>-1852</v>
      </c>
      <c r="AF20" s="32" t="n">
        <v>-1234</v>
      </c>
      <c r="AG20" s="32" t="n">
        <v>-1234</v>
      </c>
      <c r="AH20" s="32" t="n">
        <v>-1867</v>
      </c>
      <c r="AI20" s="32" t="n">
        <v>-1867</v>
      </c>
      <c r="AJ20" s="32" t="n">
        <v>1627</v>
      </c>
      <c r="AK20" s="32" t="n">
        <v>1627</v>
      </c>
      <c r="AL20" s="32" t="n">
        <v>29</v>
      </c>
      <c r="AM20" s="32" t="n">
        <v>29</v>
      </c>
      <c r="AN20" s="32" t="n">
        <v>878</v>
      </c>
      <c r="AO20" s="32" t="n">
        <v>878</v>
      </c>
      <c r="AP20" s="32" t="n">
        <v>-720</v>
      </c>
      <c r="AQ20" s="32" t="n">
        <v>-720</v>
      </c>
      <c r="AR20" s="32" t="n">
        <v>-1774</v>
      </c>
      <c r="AS20" s="32" t="n">
        <v>-1774</v>
      </c>
      <c r="AT20" s="32" t="n">
        <v>-3120</v>
      </c>
      <c r="AU20" s="32" t="n">
        <v>-3120</v>
      </c>
      <c r="AV20" s="32" t="n">
        <v>-3191</v>
      </c>
      <c r="AW20" s="32" t="n">
        <v>-3191</v>
      </c>
      <c r="AX20" s="32" t="n">
        <v>203</v>
      </c>
      <c r="AY20" s="32" t="n">
        <v>203</v>
      </c>
      <c r="AZ20" s="32" t="n">
        <v>-141</v>
      </c>
      <c r="BA20" s="33" t="n">
        <v>-141</v>
      </c>
      <c r="BB20" s="33" t="n">
        <v>-2358</v>
      </c>
      <c r="BC20" s="33" t="n">
        <v>-2358</v>
      </c>
      <c r="BD20" s="33" t="n">
        <v>-1708</v>
      </c>
      <c r="BE20" s="33" t="n">
        <v>-1708</v>
      </c>
      <c r="BF20" s="33" t="n">
        <v>-2107</v>
      </c>
      <c r="BG20" s="33" t="n">
        <v>-2107</v>
      </c>
      <c r="BH20" s="33" t="n">
        <v>-586</v>
      </c>
      <c r="BI20" s="33" t="n">
        <v>-586</v>
      </c>
      <c r="BJ20" s="33" t="n">
        <v>1103</v>
      </c>
      <c r="BK20" s="33" t="n">
        <v>1103</v>
      </c>
      <c r="BL20" s="32" t="n">
        <v>-138</v>
      </c>
      <c r="BM20" s="32" t="n">
        <v>-138</v>
      </c>
      <c r="BN20" s="32" t="n">
        <v>-2512</v>
      </c>
      <c r="BO20" s="32" t="n">
        <v>-2512</v>
      </c>
      <c r="BP20" s="32" t="n">
        <v>-103</v>
      </c>
      <c r="BQ20" s="32" t="n">
        <v>-103</v>
      </c>
      <c r="BR20" s="34" t="n">
        <v>-2118</v>
      </c>
      <c r="BS20" s="34" t="n">
        <v>-2118</v>
      </c>
      <c r="BT20" s="34" t="n">
        <v>-635</v>
      </c>
      <c r="BU20" s="12" t="n">
        <v>-340</v>
      </c>
      <c r="BV20" s="34" t="n">
        <v>-1527</v>
      </c>
      <c r="BW20" s="34" t="n">
        <v>3272</v>
      </c>
      <c r="BX20" s="34" t="n">
        <v>1234</v>
      </c>
      <c r="BY20" s="34" t="n">
        <v>602</v>
      </c>
      <c r="BZ20" s="34" t="n">
        <v>-832</v>
      </c>
      <c r="CA20" s="12" t="n">
        <v>601</v>
      </c>
      <c r="CB20" s="13" t="n">
        <v>4956</v>
      </c>
      <c r="CC20" s="17" t="n">
        <v>-1157</v>
      </c>
    </row>
    <row r="21">
      <c r="A21" s="3" t="inlineStr">
        <is>
          <t>18</t>
        </is>
      </c>
      <c r="B21" s="2" t="inlineStr">
        <is>
          <t>Realty</t>
        </is>
      </c>
      <c r="C21" s="32" t="n">
        <v>192</v>
      </c>
      <c r="D21" s="32" t="n">
        <v>36</v>
      </c>
      <c r="E21" s="32" t="n">
        <v>36</v>
      </c>
      <c r="F21" s="32" t="n">
        <v>-889</v>
      </c>
      <c r="G21" s="32" t="n">
        <v>-889</v>
      </c>
      <c r="H21" s="32" t="n">
        <v>-277</v>
      </c>
      <c r="I21" s="32" t="n">
        <v>-277</v>
      </c>
      <c r="J21" s="32" t="n">
        <v>2903</v>
      </c>
      <c r="K21" s="32" t="n">
        <v>2903</v>
      </c>
      <c r="L21" s="32" t="n">
        <v>2472</v>
      </c>
      <c r="M21" s="32" t="n">
        <v>2472</v>
      </c>
      <c r="N21" s="32" t="n">
        <v>-953</v>
      </c>
      <c r="O21" s="32" t="n">
        <v>-953</v>
      </c>
      <c r="P21" s="32" t="n">
        <v>-437</v>
      </c>
      <c r="Q21" s="32" t="n">
        <v>-437</v>
      </c>
      <c r="R21" s="32" t="n">
        <v>694</v>
      </c>
      <c r="S21" s="32" t="n">
        <v>694</v>
      </c>
      <c r="T21" s="32" t="n">
        <v>1367</v>
      </c>
      <c r="U21" s="32" t="n">
        <v>1367</v>
      </c>
      <c r="V21" s="32" t="n">
        <v>4689</v>
      </c>
      <c r="W21" s="32" t="n">
        <v>4689</v>
      </c>
      <c r="X21" s="32" t="n">
        <v>89</v>
      </c>
      <c r="Y21" s="32" t="n">
        <v>89</v>
      </c>
      <c r="Z21" s="32" t="n">
        <v>-608</v>
      </c>
      <c r="AA21" s="32" t="n">
        <v>-608</v>
      </c>
      <c r="AB21" s="32" t="n">
        <v>-394</v>
      </c>
      <c r="AC21" s="32" t="n">
        <v>-394</v>
      </c>
      <c r="AD21" s="32" t="n">
        <v>-782</v>
      </c>
      <c r="AE21" s="32" t="n">
        <v>-782</v>
      </c>
      <c r="AF21" s="32" t="n">
        <v>-407</v>
      </c>
      <c r="AG21" s="32" t="n">
        <v>-407</v>
      </c>
      <c r="AH21" s="32" t="n">
        <v>-27</v>
      </c>
      <c r="AI21" s="32" t="n">
        <v>-27</v>
      </c>
      <c r="AJ21" s="32" t="n">
        <v>612</v>
      </c>
      <c r="AK21" s="32" t="n">
        <v>612</v>
      </c>
      <c r="AL21" s="32" t="n">
        <v>-360</v>
      </c>
      <c r="AM21" s="32" t="n">
        <v>-360</v>
      </c>
      <c r="AN21" s="32" t="n">
        <v>-353</v>
      </c>
      <c r="AO21" s="32" t="n">
        <v>-353</v>
      </c>
      <c r="AP21" s="32" t="n">
        <v>-842</v>
      </c>
      <c r="AQ21" s="32" t="n">
        <v>-842</v>
      </c>
      <c r="AR21" s="32" t="n">
        <v>-822</v>
      </c>
      <c r="AS21" s="32" t="n">
        <v>-822</v>
      </c>
      <c r="AT21" s="32" t="n">
        <v>431</v>
      </c>
      <c r="AU21" s="32" t="n">
        <v>431</v>
      </c>
      <c r="AV21" s="32" t="n">
        <v>910</v>
      </c>
      <c r="AW21" s="32" t="n">
        <v>910</v>
      </c>
      <c r="AX21" s="32" t="n">
        <v>-249</v>
      </c>
      <c r="AY21" s="32" t="n">
        <v>-249</v>
      </c>
      <c r="AZ21" s="32" t="n">
        <v>-3684</v>
      </c>
      <c r="BA21" s="33" t="n">
        <v>-3684</v>
      </c>
      <c r="BB21" s="33" t="n">
        <v>-1211</v>
      </c>
      <c r="BC21" s="33" t="n">
        <v>-1211</v>
      </c>
      <c r="BD21" s="33" t="n">
        <v>-34</v>
      </c>
      <c r="BE21" s="33" t="n">
        <v>-34</v>
      </c>
      <c r="BF21" s="33" t="n">
        <v>-1927</v>
      </c>
      <c r="BG21" s="33" t="n">
        <v>-1927</v>
      </c>
      <c r="BH21" s="33" t="n">
        <v>-332</v>
      </c>
      <c r="BI21" s="33" t="n">
        <v>-332</v>
      </c>
      <c r="BJ21" s="33" t="n">
        <v>-807</v>
      </c>
      <c r="BK21" s="33" t="n">
        <v>-807</v>
      </c>
      <c r="BL21" s="32" t="n">
        <v>1</v>
      </c>
      <c r="BM21" s="32" t="n">
        <v>1</v>
      </c>
      <c r="BN21" s="32" t="n">
        <v>236</v>
      </c>
      <c r="BO21" s="32" t="n">
        <v>236</v>
      </c>
      <c r="BP21" s="32" t="n">
        <v>-1045</v>
      </c>
      <c r="BQ21" s="32" t="n">
        <v>-1045</v>
      </c>
      <c r="BR21" s="34" t="n">
        <v>-670</v>
      </c>
      <c r="BS21" s="34" t="n">
        <v>-670</v>
      </c>
      <c r="BT21" s="34" t="n">
        <v>-271</v>
      </c>
      <c r="BU21" s="12" t="n">
        <v>-699</v>
      </c>
      <c r="BV21" s="34" t="n">
        <v>-1956</v>
      </c>
      <c r="BW21" s="34" t="n">
        <v>786</v>
      </c>
      <c r="BX21" s="34" t="n">
        <v>-52</v>
      </c>
      <c r="BY21" s="34" t="n">
        <v>-2133</v>
      </c>
      <c r="BZ21" s="34" t="n">
        <v>-2560</v>
      </c>
      <c r="CA21" s="13" t="n">
        <v>-1917</v>
      </c>
      <c r="CB21" s="12" t="n">
        <v>-206</v>
      </c>
      <c r="CC21" s="15" t="n">
        <v>-430</v>
      </c>
    </row>
    <row r="22">
      <c r="A22" s="3" t="inlineStr">
        <is>
          <t>19</t>
        </is>
      </c>
      <c r="B22" s="2" t="inlineStr">
        <is>
          <t>Services</t>
        </is>
      </c>
      <c r="C22" s="32" t="n">
        <v>547</v>
      </c>
      <c r="D22" s="32" t="n">
        <v>-2021</v>
      </c>
      <c r="E22" s="32" t="n">
        <v>-2021</v>
      </c>
      <c r="F22" s="32" t="n">
        <v>-2088</v>
      </c>
      <c r="G22" s="32" t="n">
        <v>-2088</v>
      </c>
      <c r="H22" s="32" t="n">
        <v>4251</v>
      </c>
      <c r="I22" s="32" t="n">
        <v>4251</v>
      </c>
      <c r="J22" s="32" t="n">
        <v>-422</v>
      </c>
      <c r="K22" s="32" t="n">
        <v>-422</v>
      </c>
      <c r="L22" s="32" t="n">
        <v>2147</v>
      </c>
      <c r="M22" s="32" t="n">
        <v>2147</v>
      </c>
      <c r="N22" s="32" t="n">
        <v>-937</v>
      </c>
      <c r="O22" s="32" t="n">
        <v>-937</v>
      </c>
      <c r="P22" s="32" t="n">
        <v>34</v>
      </c>
      <c r="Q22" s="32" t="n">
        <v>34</v>
      </c>
      <c r="R22" s="32" t="n">
        <v>-1250</v>
      </c>
      <c r="S22" s="32" t="n">
        <v>-1250</v>
      </c>
      <c r="T22" s="32" t="n">
        <v>-2472</v>
      </c>
      <c r="U22" s="32" t="n">
        <v>-2472</v>
      </c>
      <c r="V22" s="32" t="n">
        <v>553</v>
      </c>
      <c r="W22" s="32" t="n">
        <v>553</v>
      </c>
      <c r="X22" s="32" t="n">
        <v>1211</v>
      </c>
      <c r="Y22" s="32" t="n">
        <v>1211</v>
      </c>
      <c r="Z22" s="32" t="n">
        <v>-259</v>
      </c>
      <c r="AA22" s="32" t="n">
        <v>-259</v>
      </c>
      <c r="AB22" s="32" t="n">
        <v>-1334</v>
      </c>
      <c r="AC22" s="32" t="n">
        <v>-1334</v>
      </c>
      <c r="AD22" s="32" t="n">
        <v>267</v>
      </c>
      <c r="AE22" s="32" t="n">
        <v>267</v>
      </c>
      <c r="AF22" s="32" t="n">
        <v>-84</v>
      </c>
      <c r="AG22" s="32" t="n">
        <v>-84</v>
      </c>
      <c r="AH22" s="32" t="n">
        <v>305</v>
      </c>
      <c r="AI22" s="32" t="n">
        <v>305</v>
      </c>
      <c r="AJ22" s="32" t="n">
        <v>273</v>
      </c>
      <c r="AK22" s="32" t="n">
        <v>273</v>
      </c>
      <c r="AL22" s="32" t="n">
        <v>-1175</v>
      </c>
      <c r="AM22" s="32" t="n">
        <v>-1175</v>
      </c>
      <c r="AN22" s="32" t="n">
        <v>983</v>
      </c>
      <c r="AO22" s="32" t="n">
        <v>983</v>
      </c>
      <c r="AP22" s="32" t="n">
        <v>1762</v>
      </c>
      <c r="AQ22" s="32" t="n">
        <v>1762</v>
      </c>
      <c r="AR22" s="32" t="n">
        <v>6210</v>
      </c>
      <c r="AS22" s="32" t="n">
        <v>6210</v>
      </c>
      <c r="AT22" s="32" t="n">
        <v>403</v>
      </c>
      <c r="AU22" s="32" t="n">
        <v>403</v>
      </c>
      <c r="AV22" s="32" t="n">
        <v>-57</v>
      </c>
      <c r="AW22" s="32" t="n">
        <v>-57</v>
      </c>
      <c r="AX22" s="32" t="n">
        <v>2733</v>
      </c>
      <c r="AY22" s="32" t="n">
        <v>2733</v>
      </c>
      <c r="AZ22" s="32" t="n">
        <v>724</v>
      </c>
      <c r="BA22" s="33" t="n">
        <v>724</v>
      </c>
      <c r="BB22" s="33" t="n">
        <v>384</v>
      </c>
      <c r="BC22" s="33" t="n">
        <v>384</v>
      </c>
      <c r="BD22" s="33" t="n">
        <v>1967</v>
      </c>
      <c r="BE22" s="33" t="n">
        <v>1967</v>
      </c>
      <c r="BF22" s="33" t="n">
        <v>236</v>
      </c>
      <c r="BG22" s="33" t="n">
        <v>236</v>
      </c>
      <c r="BH22" s="33" t="n">
        <v>-1222</v>
      </c>
      <c r="BI22" s="33" t="n">
        <v>-1222</v>
      </c>
      <c r="BJ22" s="33" t="n">
        <v>234</v>
      </c>
      <c r="BK22" s="33" t="n">
        <v>234</v>
      </c>
      <c r="BL22" s="32" t="n">
        <v>-21</v>
      </c>
      <c r="BM22" s="32" t="n">
        <v>-21</v>
      </c>
      <c r="BN22" s="32" t="n">
        <v>-673</v>
      </c>
      <c r="BO22" s="32" t="n">
        <v>-673</v>
      </c>
      <c r="BP22" s="32" t="n">
        <v>-307</v>
      </c>
      <c r="BQ22" s="32" t="n">
        <v>-307</v>
      </c>
      <c r="BR22" s="34" t="n">
        <v>-3237</v>
      </c>
      <c r="BS22" s="34" t="n">
        <v>-3237</v>
      </c>
      <c r="BT22" s="34" t="n">
        <v>-1041</v>
      </c>
      <c r="BU22" s="13" t="n">
        <v>-1587</v>
      </c>
      <c r="BV22" s="34" t="n">
        <v>-384</v>
      </c>
      <c r="BW22" s="34" t="n">
        <v>1286</v>
      </c>
      <c r="BX22" s="34" t="n">
        <v>205</v>
      </c>
      <c r="BY22" s="34" t="n">
        <v>-1275</v>
      </c>
      <c r="BZ22" s="34" t="n">
        <v>-1300</v>
      </c>
      <c r="CA22" s="12" t="n">
        <v>-591</v>
      </c>
      <c r="CB22" s="12" t="n">
        <v>-362</v>
      </c>
      <c r="CC22" s="17" t="n">
        <v>7019</v>
      </c>
    </row>
    <row r="23">
      <c r="A23" s="3" t="inlineStr">
        <is>
          <t>20</t>
        </is>
      </c>
      <c r="B23" s="2" t="inlineStr">
        <is>
          <t>Telecommunication</t>
        </is>
      </c>
      <c r="C23" s="32" t="n">
        <v>934</v>
      </c>
      <c r="D23" s="32" t="n">
        <v>2204</v>
      </c>
      <c r="E23" s="32" t="n">
        <v>2204</v>
      </c>
      <c r="F23" s="32" t="n">
        <v>662</v>
      </c>
      <c r="G23" s="32" t="n">
        <v>662</v>
      </c>
      <c r="H23" s="32" t="n">
        <v>1399</v>
      </c>
      <c r="I23" s="32" t="n">
        <v>1399</v>
      </c>
      <c r="J23" s="32" t="n">
        <v>1699</v>
      </c>
      <c r="K23" s="32" t="n">
        <v>1699</v>
      </c>
      <c r="L23" s="32" t="n">
        <v>236</v>
      </c>
      <c r="M23" s="32" t="n">
        <v>236</v>
      </c>
      <c r="N23" s="32" t="n">
        <v>-1603</v>
      </c>
      <c r="O23" s="32" t="n">
        <v>-1603</v>
      </c>
      <c r="P23" s="32" t="n">
        <v>-1095</v>
      </c>
      <c r="Q23" s="32" t="n">
        <v>-1095</v>
      </c>
      <c r="R23" s="32" t="n">
        <v>-2136</v>
      </c>
      <c r="S23" s="32" t="n">
        <v>-2136</v>
      </c>
      <c r="T23" s="32" t="n">
        <v>-2942</v>
      </c>
      <c r="U23" s="32" t="n">
        <v>-2942</v>
      </c>
      <c r="V23" s="32" t="n">
        <v>627</v>
      </c>
      <c r="W23" s="32" t="n">
        <v>627</v>
      </c>
      <c r="X23" s="32" t="n">
        <v>-255</v>
      </c>
      <c r="Y23" s="32" t="n">
        <v>-255</v>
      </c>
      <c r="Z23" s="32" t="n">
        <v>-499</v>
      </c>
      <c r="AA23" s="32" t="n">
        <v>-499</v>
      </c>
      <c r="AB23" s="32" t="n">
        <v>643</v>
      </c>
      <c r="AC23" s="32" t="n">
        <v>643</v>
      </c>
      <c r="AD23" s="32" t="n">
        <v>2337</v>
      </c>
      <c r="AE23" s="32" t="n">
        <v>2337</v>
      </c>
      <c r="AF23" s="32" t="n">
        <v>5661</v>
      </c>
      <c r="AG23" s="32" t="n">
        <v>5661</v>
      </c>
      <c r="AH23" s="32" t="n">
        <v>-340</v>
      </c>
      <c r="AI23" s="32" t="n">
        <v>-340</v>
      </c>
      <c r="AJ23" s="32" t="n">
        <v>3413</v>
      </c>
      <c r="AK23" s="32" t="n">
        <v>3413</v>
      </c>
      <c r="AL23" s="32" t="n">
        <v>2137</v>
      </c>
      <c r="AM23" s="32" t="n">
        <v>2137</v>
      </c>
      <c r="AN23" s="32" t="n">
        <v>2511</v>
      </c>
      <c r="AO23" s="32" t="n">
        <v>2511</v>
      </c>
      <c r="AP23" s="32" t="n">
        <v>1037</v>
      </c>
      <c r="AQ23" s="32" t="n">
        <v>1037</v>
      </c>
      <c r="AR23" s="32" t="n">
        <v>7052</v>
      </c>
      <c r="AS23" s="32" t="n">
        <v>7052</v>
      </c>
      <c r="AT23" s="32" t="n">
        <v>-887</v>
      </c>
      <c r="AU23" s="32" t="n">
        <v>-887</v>
      </c>
      <c r="AV23" s="32" t="n">
        <v>3620</v>
      </c>
      <c r="AW23" s="32" t="n">
        <v>3620</v>
      </c>
      <c r="AX23" s="32" t="n">
        <v>283</v>
      </c>
      <c r="AY23" s="32" t="n">
        <v>283</v>
      </c>
      <c r="AZ23" s="32" t="n">
        <v>1190</v>
      </c>
      <c r="BA23" s="33" t="n">
        <v>1190</v>
      </c>
      <c r="BB23" s="33" t="n">
        <v>7446</v>
      </c>
      <c r="BC23" s="33" t="n">
        <v>7446</v>
      </c>
      <c r="BD23" s="33" t="n">
        <v>-1680</v>
      </c>
      <c r="BE23" s="33" t="n">
        <v>-1680</v>
      </c>
      <c r="BF23" s="33" t="n">
        <v>-1505</v>
      </c>
      <c r="BG23" s="33" t="n">
        <v>-1505</v>
      </c>
      <c r="BH23" s="33" t="n">
        <v>-917</v>
      </c>
      <c r="BI23" s="33" t="n">
        <v>-917</v>
      </c>
      <c r="BJ23" s="33" t="n">
        <v>73</v>
      </c>
      <c r="BK23" s="33" t="n">
        <v>73</v>
      </c>
      <c r="BL23" s="32" t="n">
        <v>2087</v>
      </c>
      <c r="BM23" s="32" t="n">
        <v>2087</v>
      </c>
      <c r="BN23" s="32" t="n">
        <v>9413</v>
      </c>
      <c r="BO23" s="32" t="n">
        <v>9413</v>
      </c>
      <c r="BP23" s="32" t="n">
        <v>4913</v>
      </c>
      <c r="BQ23" s="32" t="n">
        <v>4913</v>
      </c>
      <c r="BR23" s="34" t="n">
        <v>-879</v>
      </c>
      <c r="BS23" s="34" t="n">
        <v>-879</v>
      </c>
      <c r="BT23" s="34" t="n">
        <v>1113</v>
      </c>
      <c r="BU23" s="13" t="n">
        <v>-1497</v>
      </c>
      <c r="BV23" s="34" t="n">
        <v>-3280</v>
      </c>
      <c r="BW23" s="34" t="n">
        <v>-106</v>
      </c>
      <c r="BX23" s="34" t="n">
        <v>-1775</v>
      </c>
      <c r="BY23" s="34" t="n">
        <v>-3856</v>
      </c>
      <c r="BZ23" s="34" t="n">
        <v>-1747</v>
      </c>
      <c r="CA23" s="13" t="n">
        <v>-2492</v>
      </c>
      <c r="CB23" s="13" t="n">
        <v>-1908</v>
      </c>
      <c r="CC23" s="16" t="n">
        <v>-2542</v>
      </c>
    </row>
    <row r="24">
      <c r="A24" s="3" t="inlineStr">
        <is>
          <t>21</t>
        </is>
      </c>
      <c r="B24" s="2" t="inlineStr">
        <is>
          <t>Textiles</t>
        </is>
      </c>
      <c r="C24" s="32" t="n">
        <v>41</v>
      </c>
      <c r="D24" s="32" t="n">
        <v>53</v>
      </c>
      <c r="E24" s="32" t="n">
        <v>53</v>
      </c>
      <c r="F24" s="32" t="n">
        <v>116</v>
      </c>
      <c r="G24" s="32" t="n">
        <v>116</v>
      </c>
      <c r="H24" s="32" t="n">
        <v>260</v>
      </c>
      <c r="I24" s="32" t="n">
        <v>260</v>
      </c>
      <c r="J24" s="32" t="n">
        <v>-104</v>
      </c>
      <c r="K24" s="32" t="n">
        <v>-104</v>
      </c>
      <c r="L24" s="32" t="n">
        <v>85</v>
      </c>
      <c r="M24" s="32" t="n">
        <v>85</v>
      </c>
      <c r="N24" s="32" t="n">
        <v>-68</v>
      </c>
      <c r="O24" s="32" t="n">
        <v>-68</v>
      </c>
      <c r="P24" s="32" t="n">
        <v>31</v>
      </c>
      <c r="Q24" s="32" t="n">
        <v>31</v>
      </c>
      <c r="R24" s="32" t="n">
        <v>92</v>
      </c>
      <c r="S24" s="32" t="n">
        <v>92</v>
      </c>
      <c r="T24" s="32" t="n">
        <v>320</v>
      </c>
      <c r="U24" s="32" t="n">
        <v>320</v>
      </c>
      <c r="V24" s="32" t="n">
        <v>138</v>
      </c>
      <c r="W24" s="32" t="n">
        <v>138</v>
      </c>
      <c r="X24" s="32" t="n">
        <v>751</v>
      </c>
      <c r="Y24" s="32" t="n">
        <v>751</v>
      </c>
      <c r="Z24" s="32" t="n">
        <v>205</v>
      </c>
      <c r="AA24" s="32" t="n">
        <v>205</v>
      </c>
      <c r="AB24" s="32" t="n">
        <v>397</v>
      </c>
      <c r="AC24" s="32" t="n">
        <v>397</v>
      </c>
      <c r="AD24" s="32" t="n">
        <v>158</v>
      </c>
      <c r="AE24" s="32" t="n">
        <v>158</v>
      </c>
      <c r="AF24" s="32" t="n">
        <v>-125</v>
      </c>
      <c r="AG24" s="32" t="n">
        <v>-125</v>
      </c>
      <c r="AH24" s="32" t="n">
        <v>-23</v>
      </c>
      <c r="AI24" s="32" t="n">
        <v>-23</v>
      </c>
      <c r="AJ24" s="32" t="n">
        <v>-53</v>
      </c>
      <c r="AK24" s="32" t="n">
        <v>-53</v>
      </c>
      <c r="AL24" s="32" t="n">
        <v>-72</v>
      </c>
      <c r="AM24" s="32" t="n">
        <v>-72</v>
      </c>
      <c r="AN24" s="32" t="n">
        <v>-72</v>
      </c>
      <c r="AO24" s="32" t="n">
        <v>-72</v>
      </c>
      <c r="AP24" s="32" t="n">
        <v>-92</v>
      </c>
      <c r="AQ24" s="32" t="n">
        <v>-92</v>
      </c>
      <c r="AR24" s="32" t="n">
        <v>3</v>
      </c>
      <c r="AS24" s="32" t="n">
        <v>3</v>
      </c>
      <c r="AT24" s="32" t="n">
        <v>209</v>
      </c>
      <c r="AU24" s="32" t="n">
        <v>209</v>
      </c>
      <c r="AV24" s="32" t="n">
        <v>-5</v>
      </c>
      <c r="AW24" s="32" t="n">
        <v>-5</v>
      </c>
      <c r="AX24" s="32" t="n">
        <v>234</v>
      </c>
      <c r="AY24" s="32" t="n">
        <v>234</v>
      </c>
      <c r="AZ24" s="32" t="n">
        <v>42</v>
      </c>
      <c r="BA24" s="33" t="n">
        <v>42</v>
      </c>
      <c r="BB24" s="33" t="n">
        <v>-228</v>
      </c>
      <c r="BC24" s="33" t="n">
        <v>-228</v>
      </c>
      <c r="BD24" s="33" t="n">
        <v>-422</v>
      </c>
      <c r="BE24" s="33" t="n">
        <v>-422</v>
      </c>
      <c r="BF24" s="33" t="n">
        <v>-119</v>
      </c>
      <c r="BG24" s="33" t="n">
        <v>-119</v>
      </c>
      <c r="BH24" s="33" t="n">
        <v>-39</v>
      </c>
      <c r="BI24" s="33" t="n">
        <v>-39</v>
      </c>
      <c r="BJ24" s="33" t="n">
        <v>-203</v>
      </c>
      <c r="BK24" s="33" t="n">
        <v>-203</v>
      </c>
      <c r="BL24" s="32" t="n">
        <v>-156</v>
      </c>
      <c r="BM24" s="32" t="n">
        <v>-156</v>
      </c>
      <c r="BN24" s="32" t="n">
        <v>-186</v>
      </c>
      <c r="BO24" s="32" t="n">
        <v>-186</v>
      </c>
      <c r="BP24" s="32" t="n">
        <v>-140</v>
      </c>
      <c r="BQ24" s="32" t="n">
        <v>-140</v>
      </c>
      <c r="BR24" s="34" t="n">
        <v>-263</v>
      </c>
      <c r="BS24" s="34" t="n">
        <v>-263</v>
      </c>
      <c r="BT24" s="34" t="n">
        <v>-274</v>
      </c>
      <c r="BU24" s="12" t="n">
        <v>-176</v>
      </c>
      <c r="BV24" s="34" t="n">
        <v>-99</v>
      </c>
      <c r="BW24" s="34" t="n">
        <v>-67</v>
      </c>
      <c r="BX24" s="34" t="n">
        <v>-33</v>
      </c>
      <c r="BY24" s="34" t="n">
        <v>-177</v>
      </c>
      <c r="BZ24" s="34" t="n">
        <v>-142</v>
      </c>
      <c r="CA24" s="12" t="n">
        <v>-50</v>
      </c>
      <c r="CB24" s="12" t="n">
        <v>-48</v>
      </c>
      <c r="CC24" s="14" t="n">
        <v>-112</v>
      </c>
    </row>
    <row r="25">
      <c r="A25" s="3" t="inlineStr">
        <is>
          <t>22</t>
        </is>
      </c>
      <c r="B25" s="2" t="inlineStr">
        <is>
          <t>Utilities</t>
        </is>
      </c>
      <c r="C25" s="32" t="n">
        <v>-38</v>
      </c>
      <c r="D25" s="32" t="n">
        <v>28</v>
      </c>
      <c r="E25" s="32" t="n">
        <v>28</v>
      </c>
      <c r="F25" s="32" t="n">
        <v>105</v>
      </c>
      <c r="G25" s="32" t="n">
        <v>105</v>
      </c>
      <c r="H25" s="32" t="n">
        <v>-1</v>
      </c>
      <c r="I25" s="32" t="n">
        <v>-1</v>
      </c>
      <c r="J25" s="32" t="n">
        <v>46</v>
      </c>
      <c r="K25" s="32" t="n">
        <v>46</v>
      </c>
      <c r="L25" s="32" t="n">
        <v>239</v>
      </c>
      <c r="M25" s="32" t="n">
        <v>239</v>
      </c>
      <c r="N25" s="32" t="n">
        <v>127</v>
      </c>
      <c r="O25" s="32" t="n">
        <v>127</v>
      </c>
      <c r="P25" s="32" t="n">
        <v>165</v>
      </c>
      <c r="Q25" s="32" t="n">
        <v>165</v>
      </c>
      <c r="R25" s="32" t="n">
        <v>50</v>
      </c>
      <c r="S25" s="32" t="n">
        <v>50</v>
      </c>
      <c r="T25" s="32" t="n">
        <v>89</v>
      </c>
      <c r="U25" s="32" t="n">
        <v>89</v>
      </c>
      <c r="V25" s="32" t="n">
        <v>15</v>
      </c>
      <c r="W25" s="32" t="n">
        <v>15</v>
      </c>
      <c r="X25" s="32" t="n">
        <v>54</v>
      </c>
      <c r="Y25" s="32" t="n">
        <v>54</v>
      </c>
      <c r="Z25" s="32" t="n">
        <v>1</v>
      </c>
      <c r="AA25" s="32" t="n">
        <v>1</v>
      </c>
      <c r="AB25" s="32" t="n">
        <v>-47</v>
      </c>
      <c r="AC25" s="32" t="n">
        <v>-47</v>
      </c>
      <c r="AD25" s="32" t="n">
        <v>-57</v>
      </c>
      <c r="AE25" s="32" t="n">
        <v>-57</v>
      </c>
      <c r="AF25" s="32" t="n">
        <v>-19</v>
      </c>
      <c r="AG25" s="32" t="n">
        <v>-19</v>
      </c>
      <c r="AH25" s="32" t="n">
        <v>-7</v>
      </c>
      <c r="AI25" s="32" t="n">
        <v>-7</v>
      </c>
      <c r="AJ25" s="32" t="n">
        <v>26</v>
      </c>
      <c r="AK25" s="32" t="n">
        <v>26</v>
      </c>
      <c r="AL25" s="32" t="n">
        <v>-26</v>
      </c>
      <c r="AM25" s="32" t="n">
        <v>-26</v>
      </c>
      <c r="AN25" s="32" t="n">
        <v>35</v>
      </c>
      <c r="AO25" s="32" t="n">
        <v>35</v>
      </c>
      <c r="AP25" s="32" t="n">
        <v>7</v>
      </c>
      <c r="AQ25" s="32" t="n">
        <v>7</v>
      </c>
      <c r="AR25" s="32" t="n">
        <v>16</v>
      </c>
      <c r="AS25" s="32" t="n">
        <v>16</v>
      </c>
      <c r="AT25" s="32" t="n">
        <v>4</v>
      </c>
      <c r="AU25" s="32" t="n">
        <v>4</v>
      </c>
      <c r="AV25" s="32" t="n">
        <v>-36</v>
      </c>
      <c r="AW25" s="32" t="n">
        <v>-36</v>
      </c>
      <c r="AX25" s="32" t="n">
        <v>-9</v>
      </c>
      <c r="AY25" s="32" t="n">
        <v>-9</v>
      </c>
      <c r="AZ25" s="32" t="n">
        <v>-9</v>
      </c>
      <c r="BA25" s="33" t="n">
        <v>-9</v>
      </c>
      <c r="BB25" s="33" t="n">
        <v>-24</v>
      </c>
      <c r="BC25" s="33" t="n">
        <v>-24</v>
      </c>
      <c r="BD25" s="33" t="n">
        <v>15</v>
      </c>
      <c r="BE25" s="33" t="n">
        <v>15</v>
      </c>
      <c r="BF25" s="33" t="n">
        <v>-46</v>
      </c>
      <c r="BG25" s="33" t="n">
        <v>-46</v>
      </c>
      <c r="BH25" s="33" t="n">
        <v>11</v>
      </c>
      <c r="BI25" s="33" t="n">
        <v>11</v>
      </c>
      <c r="BJ25" s="33" t="n">
        <v>1</v>
      </c>
      <c r="BK25" s="33" t="n">
        <v>1</v>
      </c>
      <c r="BL25" s="32" t="n">
        <v>14</v>
      </c>
      <c r="BM25" s="32" t="n">
        <v>14</v>
      </c>
      <c r="BN25" s="32" t="n">
        <v>8</v>
      </c>
      <c r="BO25" s="32" t="n">
        <v>8</v>
      </c>
      <c r="BP25" s="32" t="n">
        <v>27</v>
      </c>
      <c r="BQ25" s="32" t="n">
        <v>27</v>
      </c>
      <c r="BR25" s="34" t="n">
        <v>-13</v>
      </c>
      <c r="BS25" s="34" t="n">
        <v>-13</v>
      </c>
      <c r="BT25" s="34" t="n">
        <v>-17</v>
      </c>
      <c r="BU25" s="12" t="n">
        <v>-126</v>
      </c>
      <c r="BV25" s="34" t="n">
        <v>24</v>
      </c>
      <c r="BW25" s="34" t="n">
        <v>-14</v>
      </c>
      <c r="BX25" s="34" t="n">
        <v>8</v>
      </c>
      <c r="BY25" s="34" t="n">
        <v>-14</v>
      </c>
      <c r="BZ25" s="34" t="n">
        <v>3</v>
      </c>
      <c r="CA25" s="12" t="n">
        <v>4</v>
      </c>
      <c r="CB25" s="12" t="n">
        <v>-12</v>
      </c>
      <c r="CC25" s="15" t="n">
        <v>-28</v>
      </c>
    </row>
    <row r="26">
      <c r="A26" s="3" t="inlineStr">
        <is>
          <t>23</t>
        </is>
      </c>
      <c r="B26" s="2" t="inlineStr">
        <is>
          <t>Sovereign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0</v>
      </c>
      <c r="S26" s="32" t="n">
        <v>0</v>
      </c>
      <c r="T26" s="32" t="n">
        <v>0</v>
      </c>
      <c r="U26" s="32" t="n">
        <v>0</v>
      </c>
      <c r="V26" s="32" t="n">
        <v>0</v>
      </c>
      <c r="W26" s="32" t="n">
        <v>0</v>
      </c>
      <c r="X26" s="32" t="n">
        <v>0</v>
      </c>
      <c r="Y26" s="32" t="n">
        <v>0</v>
      </c>
      <c r="Z26" s="32" t="n">
        <v>0</v>
      </c>
      <c r="AA26" s="32" t="n">
        <v>0</v>
      </c>
      <c r="AB26" s="32" t="n">
        <v>0</v>
      </c>
      <c r="AC26" s="32" t="n">
        <v>0</v>
      </c>
      <c r="AD26" s="32" t="n">
        <v>0</v>
      </c>
      <c r="AE26" s="32" t="n">
        <v>0</v>
      </c>
      <c r="AF26" s="32" t="n">
        <v>0</v>
      </c>
      <c r="AG26" s="32" t="n">
        <v>0</v>
      </c>
      <c r="AH26" s="32" t="n">
        <v>0</v>
      </c>
      <c r="AI26" s="32" t="n">
        <v>0</v>
      </c>
      <c r="AJ26" s="32" t="n">
        <v>0</v>
      </c>
      <c r="AK26" s="32" t="n">
        <v>0</v>
      </c>
      <c r="AL26" s="32" t="n">
        <v>0</v>
      </c>
      <c r="AM26" s="32" t="n">
        <v>0</v>
      </c>
      <c r="AN26" s="32" t="n">
        <v>0</v>
      </c>
      <c r="AO26" s="32" t="n">
        <v>0</v>
      </c>
      <c r="AP26" s="32" t="n">
        <v>0</v>
      </c>
      <c r="AQ26" s="32" t="n">
        <v>0</v>
      </c>
      <c r="AR26" s="32" t="n">
        <v>0</v>
      </c>
      <c r="AS26" s="32" t="n">
        <v>0</v>
      </c>
      <c r="AT26" s="32" t="n">
        <v>0</v>
      </c>
      <c r="AU26" s="32" t="n">
        <v>0</v>
      </c>
      <c r="AV26" s="32" t="n">
        <v>0</v>
      </c>
      <c r="AW26" s="32" t="n">
        <v>0</v>
      </c>
      <c r="AX26" s="32" t="n">
        <v>0</v>
      </c>
      <c r="AY26" s="32" t="n">
        <v>0</v>
      </c>
      <c r="AZ26" s="32" t="n">
        <v>0</v>
      </c>
      <c r="BA26" s="33" t="n">
        <v>0</v>
      </c>
      <c r="BB26" s="33" t="n">
        <v>0</v>
      </c>
      <c r="BC26" s="33" t="n">
        <v>0</v>
      </c>
      <c r="BD26" s="33" t="n">
        <v>0</v>
      </c>
      <c r="BE26" s="33" t="n">
        <v>0</v>
      </c>
      <c r="BF26" s="33" t="n">
        <v>0</v>
      </c>
      <c r="BG26" s="33" t="n">
        <v>0</v>
      </c>
      <c r="BH26" s="33" t="n">
        <v>0</v>
      </c>
      <c r="BI26" s="33" t="n">
        <v>0</v>
      </c>
      <c r="BJ26" s="33" t="n">
        <v>0</v>
      </c>
      <c r="BK26" s="33" t="n">
        <v>0</v>
      </c>
      <c r="BL26" s="32" t="n">
        <v>0</v>
      </c>
      <c r="BM26" s="32" t="n">
        <v>0</v>
      </c>
      <c r="BN26" s="32" t="n">
        <v>0</v>
      </c>
      <c r="BO26" s="32" t="n">
        <v>0</v>
      </c>
      <c r="BP26" s="32" t="n">
        <v>0</v>
      </c>
      <c r="BQ26" s="32" t="n">
        <v>0</v>
      </c>
      <c r="BR26" s="34" t="n">
        <v>0</v>
      </c>
      <c r="BS26" s="34" t="n">
        <v>0</v>
      </c>
      <c r="BT26" s="34" t="n">
        <v>0</v>
      </c>
      <c r="BU26" s="12" t="n">
        <v>0</v>
      </c>
      <c r="BV26" s="34" t="n">
        <v>0</v>
      </c>
      <c r="BW26" s="34" t="n">
        <v>0</v>
      </c>
      <c r="BX26" s="34" t="n">
        <v>0</v>
      </c>
      <c r="BY26" s="34" t="n">
        <v>0</v>
      </c>
      <c r="BZ26" s="34" t="n">
        <v>0</v>
      </c>
      <c r="CA26" s="12" t="n">
        <v>0</v>
      </c>
      <c r="CB26" s="12" t="n">
        <v>0</v>
      </c>
      <c r="CC26" s="14" t="n">
        <v>0</v>
      </c>
    </row>
    <row r="27">
      <c r="A27" s="3" t="inlineStr">
        <is>
          <t>24</t>
        </is>
      </c>
      <c r="B27" s="2" t="inlineStr">
        <is>
          <t>Others</t>
        </is>
      </c>
      <c r="C27" s="32" t="n">
        <v>357</v>
      </c>
      <c r="D27" s="32" t="n">
        <v>808</v>
      </c>
      <c r="E27" s="32" t="n">
        <v>808</v>
      </c>
      <c r="F27" s="32" t="n">
        <v>324</v>
      </c>
      <c r="G27" s="32" t="n">
        <v>324</v>
      </c>
      <c r="H27" s="32" t="n">
        <v>1792</v>
      </c>
      <c r="I27" s="32" t="n">
        <v>1792</v>
      </c>
      <c r="J27" s="32" t="n">
        <v>2452</v>
      </c>
      <c r="K27" s="32" t="n">
        <v>2452</v>
      </c>
      <c r="L27" s="32" t="n">
        <v>2032</v>
      </c>
      <c r="M27" s="32" t="n">
        <v>2032</v>
      </c>
      <c r="N27" s="32" t="n">
        <v>4271</v>
      </c>
      <c r="O27" s="32" t="n">
        <v>4271</v>
      </c>
      <c r="P27" s="32" t="n">
        <v>2456</v>
      </c>
      <c r="Q27" s="32" t="n">
        <v>2456</v>
      </c>
      <c r="R27" s="32" t="n">
        <v>1473</v>
      </c>
      <c r="S27" s="32" t="n">
        <v>1473</v>
      </c>
      <c r="T27" s="32" t="n">
        <v>-44</v>
      </c>
      <c r="U27" s="32" t="n">
        <v>-44</v>
      </c>
      <c r="V27" s="32" t="n">
        <v>2974</v>
      </c>
      <c r="W27" s="32" t="n">
        <v>2974</v>
      </c>
      <c r="X27" s="32" t="n">
        <v>495</v>
      </c>
      <c r="Y27" s="32" t="n">
        <v>495</v>
      </c>
      <c r="Z27" s="32" t="n">
        <v>-138</v>
      </c>
      <c r="AA27" s="32" t="n">
        <v>-138</v>
      </c>
      <c r="AB27" s="32" t="n">
        <v>1348</v>
      </c>
      <c r="AC27" s="32" t="n">
        <v>1348</v>
      </c>
      <c r="AD27" s="32" t="n">
        <v>-116</v>
      </c>
      <c r="AE27" s="32" t="n">
        <v>-116</v>
      </c>
      <c r="AF27" s="32" t="n">
        <v>1362</v>
      </c>
      <c r="AG27" s="32" t="n">
        <v>1362</v>
      </c>
      <c r="AH27" s="32" t="n">
        <v>771</v>
      </c>
      <c r="AI27" s="32" t="n">
        <v>771</v>
      </c>
      <c r="AJ27" s="32" t="n">
        <v>1466</v>
      </c>
      <c r="AK27" s="32" t="n">
        <v>1466</v>
      </c>
      <c r="AL27" s="32" t="n">
        <v>297</v>
      </c>
      <c r="AM27" s="32" t="n">
        <v>297</v>
      </c>
      <c r="AN27" s="32" t="n">
        <v>1431</v>
      </c>
      <c r="AO27" s="32" t="n">
        <v>1431</v>
      </c>
      <c r="AP27" s="32" t="n">
        <v>796</v>
      </c>
      <c r="AQ27" s="32" t="n">
        <v>796</v>
      </c>
      <c r="AR27" s="32" t="n">
        <v>-540</v>
      </c>
      <c r="AS27" s="32" t="n">
        <v>-540</v>
      </c>
      <c r="AT27" s="32" t="n">
        <v>-348</v>
      </c>
      <c r="AU27" s="32" t="n">
        <v>-348</v>
      </c>
      <c r="AV27" s="32" t="n">
        <v>1453</v>
      </c>
      <c r="AW27" s="32" t="n">
        <v>1453</v>
      </c>
      <c r="AX27" s="32" t="n">
        <v>-17</v>
      </c>
      <c r="AY27" s="32" t="n">
        <v>-17</v>
      </c>
      <c r="AZ27" s="32" t="n">
        <v>8153</v>
      </c>
      <c r="BA27" s="33" t="n">
        <v>8153</v>
      </c>
      <c r="BB27" s="33" t="n">
        <v>-26</v>
      </c>
      <c r="BC27" s="33" t="n">
        <v>-26</v>
      </c>
      <c r="BD27" s="33" t="n">
        <v>60</v>
      </c>
      <c r="BE27" s="33" t="n">
        <v>60</v>
      </c>
      <c r="BF27" s="33" t="n">
        <v>133</v>
      </c>
      <c r="BG27" s="33" t="n">
        <v>133</v>
      </c>
      <c r="BH27" s="33" t="n">
        <v>294</v>
      </c>
      <c r="BI27" s="33" t="n">
        <v>294</v>
      </c>
      <c r="BJ27" s="33" t="n">
        <v>1060</v>
      </c>
      <c r="BK27" s="33" t="n">
        <v>1060</v>
      </c>
      <c r="BL27" s="32" t="n">
        <v>338</v>
      </c>
      <c r="BM27" s="32" t="n">
        <v>338</v>
      </c>
      <c r="BN27" s="32" t="n">
        <v>1446</v>
      </c>
      <c r="BO27" s="32" t="n">
        <v>1446</v>
      </c>
      <c r="BP27" s="32" t="n">
        <v>199</v>
      </c>
      <c r="BQ27" s="32" t="n">
        <v>199</v>
      </c>
      <c r="BR27" s="34" t="n">
        <v>918</v>
      </c>
      <c r="BS27" s="34" t="n">
        <v>918</v>
      </c>
      <c r="BT27" s="34" t="n">
        <v>338</v>
      </c>
      <c r="BU27" s="13" t="n">
        <v>-1469</v>
      </c>
      <c r="BV27" s="34" t="n">
        <v>486</v>
      </c>
      <c r="BW27" s="34" t="n">
        <v>1473</v>
      </c>
      <c r="BX27" s="34" t="n">
        <v>231</v>
      </c>
      <c r="BY27" s="34" t="n">
        <v>548</v>
      </c>
      <c r="BZ27" s="34" t="n">
        <v>1967</v>
      </c>
      <c r="CA27" s="12" t="n">
        <v>730</v>
      </c>
      <c r="CB27" s="12" t="n">
        <v>837</v>
      </c>
      <c r="CC27" s="15" t="n">
        <v>-808</v>
      </c>
    </row>
    <row r="28">
      <c r="B28" s="2" t="inlineStr">
        <is>
          <t>Grand Total</t>
        </is>
      </c>
      <c r="C28" s="34" t="n">
        <v>20720</v>
      </c>
      <c r="D28" s="34" t="n">
        <v>11645</v>
      </c>
      <c r="E28" s="34" t="n">
        <v>11645</v>
      </c>
      <c r="F28" s="34" t="n">
        <v>-18824</v>
      </c>
      <c r="G28" s="34" t="n">
        <v>-18824</v>
      </c>
      <c r="H28" s="34" t="n">
        <v>26144</v>
      </c>
      <c r="I28" s="34" t="n">
        <v>26144</v>
      </c>
      <c r="J28" s="34" t="n">
        <v>27862</v>
      </c>
      <c r="K28" s="34" t="n">
        <v>27862</v>
      </c>
      <c r="L28" s="34" t="n">
        <v>29861</v>
      </c>
      <c r="M28" s="34" t="n">
        <v>29861</v>
      </c>
      <c r="N28" s="34" t="n">
        <v>-66301</v>
      </c>
      <c r="O28" s="34" t="n">
        <v>-66301</v>
      </c>
      <c r="P28" s="34" t="n">
        <v>-27716</v>
      </c>
      <c r="Q28" s="34" t="n">
        <v>-27716</v>
      </c>
      <c r="R28" s="34" t="n">
        <v>-22420</v>
      </c>
      <c r="S28" s="34" t="n">
        <v>-22420</v>
      </c>
      <c r="T28" s="34" t="n">
        <v>808</v>
      </c>
      <c r="U28" s="34" t="n">
        <v>808</v>
      </c>
      <c r="V28" s="34" t="n">
        <v>22766</v>
      </c>
      <c r="W28" s="34" t="n">
        <v>22766</v>
      </c>
      <c r="X28" s="34" t="n">
        <v>-7319</v>
      </c>
      <c r="Y28" s="34" t="n">
        <v>-7319</v>
      </c>
      <c r="Z28" s="34" t="n">
        <v>-35658</v>
      </c>
      <c r="AA28" s="34" t="n">
        <v>-35658</v>
      </c>
      <c r="AB28" s="34" t="n">
        <v>-42369</v>
      </c>
      <c r="AC28" s="34" t="n">
        <v>-42369</v>
      </c>
      <c r="AD28" s="34" t="n">
        <v>-21272</v>
      </c>
      <c r="AE28" s="34" t="n">
        <v>-21272</v>
      </c>
      <c r="AF28" s="34" t="n">
        <v>-13302</v>
      </c>
      <c r="AG28" s="34" t="n">
        <v>-13302</v>
      </c>
      <c r="AH28" s="34" t="n">
        <v>-30015</v>
      </c>
      <c r="AI28" s="34" t="n">
        <v>-30015</v>
      </c>
      <c r="AJ28" s="34" t="n">
        <v>26042</v>
      </c>
      <c r="AK28" s="34" t="n">
        <v>26042</v>
      </c>
      <c r="AL28" s="34" t="n">
        <v>-33927</v>
      </c>
      <c r="AM28" s="34" t="n">
        <v>-33927</v>
      </c>
      <c r="AN28" s="34" t="n">
        <v>38150</v>
      </c>
      <c r="AO28" s="34" t="n">
        <v>38150</v>
      </c>
      <c r="AP28" s="34" t="n">
        <v>12873</v>
      </c>
      <c r="AQ28" s="34" t="n">
        <v>12873</v>
      </c>
      <c r="AR28" s="34" t="n">
        <v>6987</v>
      </c>
      <c r="AS28" s="34" t="n">
        <v>6987</v>
      </c>
      <c r="AT28" s="34" t="n">
        <v>-5402</v>
      </c>
      <c r="AU28" s="34" t="n">
        <v>-5402</v>
      </c>
      <c r="AV28" s="34" t="n">
        <v>19992</v>
      </c>
      <c r="AW28" s="34" t="n">
        <v>19992</v>
      </c>
      <c r="AX28" s="34" t="n">
        <v>-1446</v>
      </c>
      <c r="AY28" s="34" t="n">
        <v>-1446</v>
      </c>
      <c r="AZ28" s="34" t="n">
        <v>-16295</v>
      </c>
      <c r="BA28" s="35" t="n">
        <v>-16295</v>
      </c>
      <c r="BB28" s="35" t="n">
        <v>-20975</v>
      </c>
      <c r="BC28" s="35" t="n">
        <v>-20975</v>
      </c>
      <c r="BD28" s="35" t="n">
        <v>-14019</v>
      </c>
      <c r="BE28" s="35" t="n">
        <v>-14019</v>
      </c>
      <c r="BF28" s="35" t="n">
        <v>-9759</v>
      </c>
      <c r="BG28" s="35" t="n">
        <v>-9759</v>
      </c>
      <c r="BH28" s="35" t="n">
        <v>-14126</v>
      </c>
      <c r="BI28" s="35" t="n">
        <v>-14126</v>
      </c>
      <c r="BJ28" s="35" t="n">
        <v>3631</v>
      </c>
      <c r="BK28" s="35" t="n">
        <v>3631</v>
      </c>
      <c r="BL28" s="34" t="n">
        <v>10979</v>
      </c>
      <c r="BM28" s="34" t="n">
        <v>10979</v>
      </c>
      <c r="BN28" s="34" t="n">
        <v>-6092</v>
      </c>
      <c r="BO28" s="34" t="n">
        <v>-6092</v>
      </c>
      <c r="BP28" s="34" t="n">
        <v>2327</v>
      </c>
      <c r="BQ28" s="34" t="n">
        <v>2327</v>
      </c>
      <c r="BR28" s="34" t="n">
        <v>-17821</v>
      </c>
      <c r="BS28" s="34" t="n">
        <v>-17821</v>
      </c>
      <c r="BT28" s="34" t="n">
        <v>-4790</v>
      </c>
      <c r="BU28" s="13" t="n">
        <v>-19015</v>
      </c>
      <c r="BV28" s="34" t="n">
        <v>-16947</v>
      </c>
      <c r="BW28" s="34" t="n">
        <v>19675</v>
      </c>
      <c r="BX28" s="34" t="n">
        <v>2940</v>
      </c>
      <c r="BY28" s="34" t="n">
        <v>-52704</v>
      </c>
      <c r="BZ28" s="34" t="n">
        <v>-65071</v>
      </c>
      <c r="CA28" s="13" t="n">
        <v>-48139</v>
      </c>
      <c r="CB28" s="13" t="n">
        <v>-12708</v>
      </c>
      <c r="CC28" s="17" t="n">
        <v>-27048</v>
      </c>
    </row>
  </sheetData>
  <conditionalFormatting sqref="C4:BT27 BU4:BU25 BU27 BV4:BV26 BW4:BW27">
    <cfRule type="cellIs" priority="16" operator="greaterThan" dxfId="50">
      <formula>2000</formula>
    </cfRule>
  </conditionalFormatting>
  <conditionalFormatting sqref="C4:BT27 BU4:BU25 BU27 BV4:BV26 BW4:BW27 BX4:CC28 CD4:CQ27">
    <cfRule type="cellIs" priority="11" operator="between" dxfId="55">
      <formula>-500</formula>
      <formula>-1000</formula>
    </cfRule>
    <cfRule type="cellIs" priority="12" operator="between" dxfId="54">
      <formula>-1</formula>
      <formula>-500</formula>
    </cfRule>
    <cfRule type="cellIs" priority="13" operator="lessThan" dxfId="53">
      <formula>-2000</formula>
    </cfRule>
    <cfRule type="cellIs" priority="14" operator="between" dxfId="52">
      <formula>251</formula>
      <formula>999</formula>
    </cfRule>
    <cfRule type="cellIs" priority="15" operator="between" dxfId="51">
      <formula>1000</formula>
      <formula>2000</formula>
    </cfRule>
  </conditionalFormatting>
  <conditionalFormatting sqref="BX4:CC28">
    <cfRule type="cellIs" priority="1" operator="greaterThan" dxfId="50">
      <formula>2000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6"/>
  <sheetViews>
    <sheetView tabSelected="1" zoomScale="60" zoomScaleNormal="60" workbookViewId="0">
      <pane xSplit="19" topLeftCell="AL1" activePane="topRight" state="frozen"/>
      <selection pane="topRight" activeCell="A2" sqref="A2"/>
    </sheetView>
  </sheetViews>
  <sheetFormatPr baseColWidth="8" defaultColWidth="15.5703125" defaultRowHeight="21"/>
  <cols>
    <col width="48" bestFit="1" customWidth="1" style="7" min="1" max="1"/>
    <col hidden="1" width="42.7109375" customWidth="1" style="7" min="2" max="3"/>
    <col hidden="1" width="44.140625" customWidth="1" style="7" min="4" max="5"/>
    <col hidden="1" width="44.42578125" customWidth="1" style="7" min="6" max="7"/>
    <col hidden="1" width="44" customWidth="1" style="7" min="8" max="9"/>
    <col hidden="1" width="44.42578125" customWidth="1" style="7" min="10" max="13"/>
    <col hidden="1" width="43.28515625" customWidth="1" style="7" min="14" max="15"/>
    <col hidden="1" width="44.140625" customWidth="1" style="7" min="16" max="19"/>
    <col hidden="1" width="43.7109375" customWidth="1" style="7" min="20" max="21"/>
    <col hidden="1" width="44.7109375" customWidth="1" style="7" min="22" max="23"/>
    <col hidden="1" width="43.7109375" customWidth="1" style="7" min="24" max="25"/>
    <col hidden="1" width="42.7109375" customWidth="1" style="7" min="26" max="27"/>
    <col hidden="1" width="44.140625" customWidth="1" style="7" min="28" max="29"/>
    <col hidden="1" width="51.85546875" customWidth="1" style="7" min="30" max="31"/>
    <col hidden="1" width="30.140625" customWidth="1" style="7" min="32" max="33"/>
    <col hidden="1" width="30.5703125" customWidth="1" style="7" min="34" max="37"/>
    <col width="29.7109375" bestFit="1" customWidth="1" style="7" min="38" max="39"/>
    <col width="30.42578125" bestFit="1" customWidth="1" style="7" min="40" max="41"/>
    <col width="33.7109375" bestFit="1" customWidth="1" style="7" min="42" max="43"/>
    <col width="31.5703125" bestFit="1" customWidth="1" style="7" min="44" max="44"/>
    <col width="31.5703125" customWidth="1" style="7" min="45" max="45"/>
    <col width="30.85546875" bestFit="1" customWidth="1" style="7" min="46" max="46"/>
    <col width="19.5703125" bestFit="1" customWidth="1" style="7" min="47" max="47"/>
    <col width="19.7109375" bestFit="1" customWidth="1" style="7" min="48" max="49"/>
    <col width="22.7109375" bestFit="1" customWidth="1" style="7" min="50" max="52"/>
    <col width="29.42578125" bestFit="1" customWidth="1" style="7" min="53" max="53"/>
    <col width="15.5703125" customWidth="1" style="7" min="54" max="16384"/>
  </cols>
  <sheetData>
    <row r="1" ht="48" customHeight="1" s="30">
      <c r="A1" s="8" t="inlineStr">
        <is>
          <t>SECTORS</t>
        </is>
      </c>
      <c r="B1" s="6" t="inlineStr">
        <is>
          <t>Net Investment Jul 01-15, 2024</t>
        </is>
      </c>
      <c r="C1" s="6" t="inlineStr">
        <is>
          <t>Net Investment Jul 16-31, 2024</t>
        </is>
      </c>
      <c r="D1" s="6" t="inlineStr">
        <is>
          <t>Net Investment Aug 01-15, 2024</t>
        </is>
      </c>
      <c r="E1" s="6" t="inlineStr">
        <is>
          <t>Net Investment Aug 16-31, 2024</t>
        </is>
      </c>
      <c r="F1" s="6" t="inlineStr">
        <is>
          <t>Net Investment Sep 01-15, 2024</t>
        </is>
      </c>
      <c r="G1" s="6" t="inlineStr">
        <is>
          <t>Net Investment Sep 16-30, 2024</t>
        </is>
      </c>
      <c r="H1" s="6" t="inlineStr">
        <is>
          <t>Net Investment Oct 01-15, 2024</t>
        </is>
      </c>
      <c r="I1" s="6" t="inlineStr">
        <is>
          <t>Net Investment Oct 16-31, 2024</t>
        </is>
      </c>
      <c r="J1" s="6" t="inlineStr">
        <is>
          <t>Net Investment Nov 01-15, 2024</t>
        </is>
      </c>
      <c r="K1" s="6" t="inlineStr">
        <is>
          <t>Net Investment Nov 16-30, 2024</t>
        </is>
      </c>
      <c r="L1" s="6" t="inlineStr">
        <is>
          <t>Net Investment Dec 01-15, 2024</t>
        </is>
      </c>
      <c r="M1" s="6" t="inlineStr">
        <is>
          <t>Net Investment Dec 16-31, 2024</t>
        </is>
      </c>
      <c r="N1" s="6" t="inlineStr">
        <is>
          <t>Net Investment Jan 01-15, 2025</t>
        </is>
      </c>
      <c r="O1" s="6" t="inlineStr">
        <is>
          <t>Net Investment Jan 16-31, 2025</t>
        </is>
      </c>
      <c r="P1" s="6" t="inlineStr">
        <is>
          <t>Net Investment Feb 01-15, 2025</t>
        </is>
      </c>
      <c r="Q1" s="6" t="inlineStr">
        <is>
          <t>Net Investment Feb 16-28, 2025</t>
        </is>
      </c>
      <c r="R1" s="6" t="inlineStr">
        <is>
          <t>Net Investment Mar 01-15, 2025</t>
        </is>
      </c>
      <c r="S1" s="6" t="inlineStr">
        <is>
          <t>Net Investment Mar 16-31, 2025</t>
        </is>
      </c>
      <c r="T1" s="6" t="inlineStr">
        <is>
          <t>Net Investment Apr 01-15, 2025</t>
        </is>
      </c>
      <c r="U1" s="6" t="inlineStr">
        <is>
          <t>Net Investment Apr 16-30, 2025</t>
        </is>
      </c>
      <c r="V1" s="6" t="inlineStr">
        <is>
          <t>Net Investment May 01-15, 2025</t>
        </is>
      </c>
      <c r="W1" s="6" t="inlineStr">
        <is>
          <t>Net Investment May 16-31, 2025</t>
        </is>
      </c>
      <c r="X1" s="6" t="inlineStr">
        <is>
          <t>Net Investment Jun 01-15, 2025</t>
        </is>
      </c>
      <c r="Y1" s="6" t="inlineStr">
        <is>
          <t>Net Investment Jun 16-30, 2025</t>
        </is>
      </c>
      <c r="Z1" s="6" t="inlineStr">
        <is>
          <t>Net Investment Jul 01-15, 2025</t>
        </is>
      </c>
      <c r="AA1" s="6" t="inlineStr">
        <is>
          <t>Net Investment Jul 16-31, 2025</t>
        </is>
      </c>
      <c r="AB1" s="6" t="inlineStr">
        <is>
          <t>Net Investment Aug 01-15, 2025</t>
        </is>
      </c>
      <c r="AC1" s="6" t="inlineStr">
        <is>
          <t>Net Investment Aug 16-31, 2025</t>
        </is>
      </c>
      <c r="AD1" s="6" t="inlineStr">
        <is>
          <t>Net Investment Sep 01-15, 2025</t>
        </is>
      </c>
      <c r="AE1" s="6" t="inlineStr">
        <is>
          <t>Net Investment Sep 16-30, 2025</t>
        </is>
      </c>
      <c r="AF1" s="6" t="inlineStr">
        <is>
          <t>Net Investment
Oct 01-15, 2025</t>
        </is>
      </c>
      <c r="AG1" s="6" t="inlineStr">
        <is>
          <t>Net Investment
Oct 16-31, 2025</t>
        </is>
      </c>
      <c r="AH1" s="6" t="inlineStr">
        <is>
          <t>Net Investment
Nov 01-15, 2025</t>
        </is>
      </c>
      <c r="AI1" s="6" t="inlineStr">
        <is>
          <t>Net Investment
Nov 16-30, 2025</t>
        </is>
      </c>
      <c r="AJ1" s="6" t="inlineStr">
        <is>
          <t>Net Investment
Dec 01-15, 2025</t>
        </is>
      </c>
      <c r="AK1" s="6" t="inlineStr">
        <is>
          <t>Net Investment
Dec 16-31, 2025</t>
        </is>
      </c>
      <c r="AL1" s="6" t="inlineStr">
        <is>
          <t>Net Investment
Jan 01-15, 2026</t>
        </is>
      </c>
      <c r="AM1" s="6" t="inlineStr">
        <is>
          <t>Net Investment
Jan 16-31, 2026</t>
        </is>
      </c>
      <c r="AN1" s="6" t="inlineStr">
        <is>
          <t>Net Investment
Feb 01-15, 2026</t>
        </is>
      </c>
      <c r="AO1" s="6" t="inlineStr">
        <is>
          <t>Net Investment
Feb 16-28, 2026</t>
        </is>
      </c>
      <c r="AP1" s="6" t="inlineStr">
        <is>
          <t>Net Investment
March 01-15, 2026</t>
        </is>
      </c>
      <c r="AQ1" s="6" t="inlineStr">
        <is>
          <t>Net Investment
March 16-31, 2026</t>
        </is>
      </c>
      <c r="AR1" s="6" t="inlineStr">
        <is>
          <t>Net Investment
April 01-15, 2026</t>
        </is>
      </c>
      <c r="AS1" s="6" t="inlineStr">
        <is>
          <t>Net Investment
April 16-30, 2026</t>
        </is>
      </c>
      <c r="AT1" s="6" t="inlineStr">
        <is>
          <t>Net Investment
May 01-15, 2026</t>
        </is>
      </c>
      <c r="AU1" s="42" t="inlineStr">
        <is>
          <t>Net Investment
May 16-31, 2026</t>
        </is>
      </c>
      <c r="AV1" s="42" t="inlineStr">
        <is>
          <t>Net Investment
Jun 01-15, 2026</t>
        </is>
      </c>
      <c r="AW1" s="42" t="inlineStr">
        <is>
          <t>Net Investment
Jun 16-30, 2026</t>
        </is>
      </c>
      <c r="AX1" s="42" t="inlineStr">
        <is>
          <t>Net Investment
Jul 01-15, 2026</t>
        </is>
      </c>
      <c r="AY1" s="42" t="inlineStr">
        <is>
          <t>Net Investment
Jul 16-31, 2026</t>
        </is>
      </c>
      <c r="AZ1" s="42" t="inlineStr">
        <is>
          <t>Net Investment
Aug 01-15, 2026</t>
        </is>
      </c>
      <c r="BA1" s="42" t="inlineStr">
        <is>
          <t>Net Investment
Aug 16-31, 2026</t>
        </is>
      </c>
      <c r="BB1" s="42" t="inlineStr">
        <is>
          <t>Net Investment
Sep 01-15, 2026</t>
        </is>
      </c>
      <c r="BC1" s="42" t="inlineStr">
        <is>
          <t>Net Investment
Sep 16-30, 2026</t>
        </is>
      </c>
      <c r="BD1" s="8" t="inlineStr">
        <is>
          <t>Sector Trend</t>
        </is>
      </c>
      <c r="BE1" s="11" t="inlineStr">
        <is>
          <t>30 Days
Flow</t>
        </is>
      </c>
      <c r="BF1" s="11" t="inlineStr">
        <is>
          <t>45 Days
Flow</t>
        </is>
      </c>
      <c r="BG1" s="11" t="inlineStr">
        <is>
          <t>60 Days
Flow</t>
        </is>
      </c>
      <c r="BH1" s="11" t="inlineStr">
        <is>
          <t>75 Days
Flow</t>
        </is>
      </c>
      <c r="BI1" s="11" t="inlineStr">
        <is>
          <t>90 Days
Flow</t>
        </is>
      </c>
      <c r="BJ1" s="9" t="inlineStr">
        <is>
          <t>Money Flow Trend</t>
        </is>
      </c>
    </row>
    <row r="2" ht="39.95" customHeight="1" s="30">
      <c r="A2" s="10" t="inlineStr">
        <is>
          <t>Automobile and Auto Components</t>
        </is>
      </c>
      <c r="B2" s="36" t="n">
        <v>2993</v>
      </c>
      <c r="C2" s="36" t="n">
        <v>3155</v>
      </c>
      <c r="D2" s="36" t="n">
        <v>-1628</v>
      </c>
      <c r="E2" s="36" t="n">
        <v>-751</v>
      </c>
      <c r="F2" s="36" t="n">
        <v>-1983</v>
      </c>
      <c r="G2" s="36" t="n">
        <v>-123</v>
      </c>
      <c r="H2" s="36" t="n">
        <v>-8131</v>
      </c>
      <c r="I2" s="36" t="n">
        <v>-2309</v>
      </c>
      <c r="J2" s="36" t="n">
        <v>-4411</v>
      </c>
      <c r="K2" s="36" t="n">
        <v>-3053</v>
      </c>
      <c r="L2" s="36" t="n">
        <v>-1823</v>
      </c>
      <c r="M2" s="36" t="n">
        <v>-2548</v>
      </c>
      <c r="N2" s="36" t="n">
        <v>-1924</v>
      </c>
      <c r="O2" s="36" t="n">
        <v>-3899</v>
      </c>
      <c r="P2" s="36" t="n">
        <v>-690</v>
      </c>
      <c r="Q2" s="36" t="n">
        <v>-3279</v>
      </c>
      <c r="R2" s="36" t="n">
        <v>-3640</v>
      </c>
      <c r="S2" s="36" t="n">
        <v>776</v>
      </c>
      <c r="T2" s="36" t="n">
        <v>-2562</v>
      </c>
      <c r="U2" s="36" t="n">
        <v>-645</v>
      </c>
      <c r="V2" s="36" t="n">
        <v>1610</v>
      </c>
      <c r="W2" s="36" t="n">
        <v>-1509</v>
      </c>
      <c r="X2" s="36" t="n">
        <v>-296</v>
      </c>
      <c r="Y2" s="36" t="n">
        <v>5020</v>
      </c>
      <c r="Z2" s="37" t="n">
        <v>-1159</v>
      </c>
      <c r="AA2" s="37" t="n">
        <v>-2425</v>
      </c>
      <c r="AB2" s="37" t="n">
        <v>-814</v>
      </c>
      <c r="AC2" s="37" t="n">
        <v>2617</v>
      </c>
      <c r="AD2" s="37" t="n">
        <v>1908</v>
      </c>
      <c r="AE2" s="37" t="n">
        <v>1733</v>
      </c>
      <c r="AF2" s="37" t="n">
        <v>1560</v>
      </c>
      <c r="AG2" s="37" t="n">
        <v>-593</v>
      </c>
      <c r="AH2" s="37" t="n">
        <v>-385</v>
      </c>
      <c r="AI2" s="37" t="n">
        <v>-1257</v>
      </c>
      <c r="AJ2" s="37" t="n">
        <v>611</v>
      </c>
      <c r="AK2" s="37" t="n">
        <v>-2656</v>
      </c>
      <c r="AL2" s="37" t="n">
        <v>-500</v>
      </c>
      <c r="AM2" s="37" t="n">
        <v>-3094</v>
      </c>
      <c r="AN2" s="37" t="n">
        <v>511</v>
      </c>
      <c r="AO2" s="37" t="n">
        <v>3075</v>
      </c>
      <c r="AP2" s="37" t="n">
        <v>-4807</v>
      </c>
      <c r="AQ2" s="37" t="n">
        <v>-7691</v>
      </c>
      <c r="AR2" s="37" t="n">
        <v>-3704</v>
      </c>
      <c r="AS2" s="37" t="n">
        <v>-1775</v>
      </c>
      <c r="AT2" s="37" t="n">
        <v>-357</v>
      </c>
      <c r="AU2" t="n">
        <v>-2175</v>
      </c>
      <c r="AV2" t="n">
        <v>-9044</v>
      </c>
      <c r="AW2" t="n">
        <v>-1324</v>
      </c>
      <c r="AX2" t="n">
        <v>-6936</v>
      </c>
      <c r="AY2" t="n">
        <v>2372</v>
      </c>
      <c r="AZ2" t="n">
        <v>4405</v>
      </c>
      <c r="BA2" t="n">
        <v>-1299</v>
      </c>
      <c r="BB2" t="n">
        <v>-2670</v>
      </c>
      <c r="BC2" t="n">
        <v>-3542</v>
      </c>
      <c r="BD2" t="n"/>
      <c r="BE2" s="38">
        <f>SUM(Table22[[#This Row],[Net Investment
April 16-30, 2026]:[Net Investment
May 01-15, 2026]])</f>
        <v/>
      </c>
      <c r="BF2" s="38">
        <f>SUM(Table22[[#This Row],[Net Investment
April 01-15, 2026]:[Net Investment
May 01-15, 2026]])</f>
        <v/>
      </c>
      <c r="BG2" s="38">
        <f>SUM(Table22[[#This Row],[Net Investment
March 16-31, 2026]:[Net Investment
May 01-15, 2026]])</f>
        <v/>
      </c>
      <c r="BH2" s="38">
        <f>SUM(Table22[[#This Row],[Net Investment
March 01-15, 2026]:[Net Investment
May 01-15, 2026]])</f>
        <v/>
      </c>
      <c r="BI2" s="38">
        <f>SUM(Table22[[#This Row],[Net Investment
Feb 16-28, 2026]:[Net Investment
May 01-15, 2026]])</f>
        <v/>
      </c>
    </row>
    <row r="3" ht="39.95" customHeight="1" s="30">
      <c r="A3" s="10" t="inlineStr">
        <is>
          <t>Capital Goods</t>
        </is>
      </c>
      <c r="B3" s="36" t="n">
        <v>3612</v>
      </c>
      <c r="C3" s="36" t="n">
        <v>1315</v>
      </c>
      <c r="D3" s="36" t="n">
        <v>-1089</v>
      </c>
      <c r="E3" s="36" t="n">
        <v>780</v>
      </c>
      <c r="F3" s="36" t="n">
        <v>1778</v>
      </c>
      <c r="G3" s="36" t="n">
        <v>2224</v>
      </c>
      <c r="H3" s="36" t="n">
        <v>-853</v>
      </c>
      <c r="I3" s="36" t="n">
        <v>-1933</v>
      </c>
      <c r="J3" s="36" t="n">
        <v>-1004</v>
      </c>
      <c r="K3" s="36" t="n">
        <v>681</v>
      </c>
      <c r="L3" s="36" t="n">
        <v>2657</v>
      </c>
      <c r="M3" s="36" t="n">
        <v>471</v>
      </c>
      <c r="N3" s="36" t="n">
        <v>-2620</v>
      </c>
      <c r="O3" s="36" t="n">
        <v>-3077</v>
      </c>
      <c r="P3" s="36" t="n">
        <v>-3206</v>
      </c>
      <c r="Q3" s="36" t="n">
        <v>-1258</v>
      </c>
      <c r="R3" s="36" t="n">
        <v>-1912</v>
      </c>
      <c r="S3" s="36" t="n">
        <v>1613</v>
      </c>
      <c r="T3" s="36" t="n">
        <v>-3019</v>
      </c>
      <c r="U3" s="36" t="n">
        <v>2944</v>
      </c>
      <c r="V3" s="36" t="n">
        <v>2233</v>
      </c>
      <c r="W3" s="36" t="n">
        <v>3094</v>
      </c>
      <c r="X3" s="36" t="n">
        <v>1191</v>
      </c>
      <c r="Y3" s="36" t="n">
        <v>-3022</v>
      </c>
      <c r="Z3" s="37" t="n">
        <v>922</v>
      </c>
      <c r="AA3" s="37" t="n">
        <v>-617</v>
      </c>
      <c r="AB3" s="37" t="n">
        <v>1132</v>
      </c>
      <c r="AC3" s="37" t="n">
        <v>764</v>
      </c>
      <c r="AD3" s="37" t="n">
        <v>1518</v>
      </c>
      <c r="AE3" s="37" t="n">
        <v>1492</v>
      </c>
      <c r="AF3" s="37" t="n">
        <v>-851</v>
      </c>
      <c r="AG3" s="37" t="n">
        <v>169</v>
      </c>
      <c r="AH3" s="37" t="n">
        <v>788</v>
      </c>
      <c r="AI3" s="37" t="n">
        <v>1707</v>
      </c>
      <c r="AJ3" s="37" t="n">
        <v>-1218</v>
      </c>
      <c r="AK3" s="37" t="n">
        <v>-1348</v>
      </c>
      <c r="AL3" s="37" t="n">
        <v>326</v>
      </c>
      <c r="AM3" s="37" t="n">
        <v>2435</v>
      </c>
      <c r="AN3" s="37" t="n">
        <v>8032</v>
      </c>
      <c r="AO3" s="37" t="n">
        <v>4103</v>
      </c>
      <c r="AP3" s="37" t="n">
        <v>3897</v>
      </c>
      <c r="AQ3" s="37" t="n">
        <v>-749</v>
      </c>
      <c r="AR3" s="37" t="n">
        <v>-328</v>
      </c>
      <c r="AS3" s="37" t="n">
        <v>4667</v>
      </c>
      <c r="AT3" s="37" t="n">
        <v>2645</v>
      </c>
      <c r="AU3" t="n">
        <v>154</v>
      </c>
      <c r="AV3" t="n">
        <v>-2586</v>
      </c>
      <c r="AW3" t="n">
        <v>-1442</v>
      </c>
      <c r="AX3" t="n">
        <v>-2657</v>
      </c>
      <c r="AY3" t="n">
        <v>-3618</v>
      </c>
      <c r="AZ3" t="n">
        <v>-1556</v>
      </c>
      <c r="BA3" t="n">
        <v>2162</v>
      </c>
      <c r="BB3" t="n">
        <v>-108</v>
      </c>
      <c r="BC3" t="n">
        <v>-1353</v>
      </c>
      <c r="BE3" s="38">
        <f>SUM(Table22[[#This Row],[Net Investment
April 16-30, 2026]:[Net Investment
May 01-15, 2026]])</f>
        <v/>
      </c>
      <c r="BF3" s="38">
        <f>SUM(Table22[[#This Row],[Net Investment
April 01-15, 2026]:[Net Investment
May 01-15, 2026]])</f>
        <v/>
      </c>
      <c r="BG3" s="38">
        <f>SUM(Table22[[#This Row],[Net Investment
March 16-31, 2026]:[Net Investment
May 01-15, 2026]])</f>
        <v/>
      </c>
      <c r="BH3" s="38">
        <f>SUM(Table22[[#This Row],[Net Investment
March 01-15, 2026]:[Net Investment
May 01-15, 2026]])</f>
        <v/>
      </c>
      <c r="BI3" s="38">
        <f>SUM(Table22[[#This Row],[Net Investment
Feb 16-28, 2026]:[Net Investment
May 01-15, 2026]])</f>
        <v/>
      </c>
    </row>
    <row r="4" ht="39.95" customHeight="1" s="30">
      <c r="A4" s="10" t="inlineStr">
        <is>
          <t>Chemicals</t>
        </is>
      </c>
      <c r="B4" s="36" t="n">
        <v>-118</v>
      </c>
      <c r="C4" s="36" t="n">
        <v>-394</v>
      </c>
      <c r="D4" s="36" t="n">
        <v>-204</v>
      </c>
      <c r="E4" s="36" t="n">
        <v>182</v>
      </c>
      <c r="F4" s="36" t="n">
        <v>699</v>
      </c>
      <c r="G4" s="36" t="n">
        <v>746</v>
      </c>
      <c r="H4" s="36" t="n">
        <v>552</v>
      </c>
      <c r="I4" s="36" t="n">
        <v>31</v>
      </c>
      <c r="J4" s="36" t="n">
        <v>210</v>
      </c>
      <c r="K4" s="36" t="n">
        <v>-197</v>
      </c>
      <c r="L4" s="36" t="n">
        <v>646</v>
      </c>
      <c r="M4" s="36" t="n">
        <v>-46</v>
      </c>
      <c r="N4" s="36" t="n">
        <v>42</v>
      </c>
      <c r="O4" s="36" t="n">
        <v>313</v>
      </c>
      <c r="P4" s="36" t="n">
        <v>337</v>
      </c>
      <c r="Q4" s="36" t="n">
        <v>92</v>
      </c>
      <c r="R4" s="36" t="n">
        <v>-129</v>
      </c>
      <c r="S4" s="36" t="n">
        <v>620</v>
      </c>
      <c r="T4" s="36" t="n">
        <v>-309</v>
      </c>
      <c r="U4" s="36" t="n">
        <v>1184</v>
      </c>
      <c r="V4" s="36" t="n">
        <v>833</v>
      </c>
      <c r="W4" s="36" t="n">
        <v>475</v>
      </c>
      <c r="X4" s="36" t="n">
        <v>1405</v>
      </c>
      <c r="Y4" s="36" t="n">
        <v>987</v>
      </c>
      <c r="Z4" s="37" t="n">
        <v>168</v>
      </c>
      <c r="AA4" s="37" t="n">
        <v>961</v>
      </c>
      <c r="AB4" s="37" t="n">
        <v>410</v>
      </c>
      <c r="AC4" s="37" t="n">
        <v>1161</v>
      </c>
      <c r="AD4" s="37" t="n">
        <v>23</v>
      </c>
      <c r="AE4" s="37" t="n">
        <v>-406</v>
      </c>
      <c r="AF4" s="37" t="n">
        <v>-316</v>
      </c>
      <c r="AG4" s="37" t="n">
        <v>-608</v>
      </c>
      <c r="AH4" s="37" t="n">
        <v>-518</v>
      </c>
      <c r="AI4" s="37" t="n">
        <v>-660</v>
      </c>
      <c r="AJ4" s="37" t="n">
        <v>-23</v>
      </c>
      <c r="AK4" s="37" t="n">
        <v>-25</v>
      </c>
      <c r="AL4" s="37" t="n">
        <v>69</v>
      </c>
      <c r="AM4" s="37" t="n">
        <v>71</v>
      </c>
      <c r="AN4" s="37" t="n">
        <v>642</v>
      </c>
      <c r="AO4" s="37" t="n">
        <v>-394</v>
      </c>
      <c r="AP4" s="37" t="n">
        <v>225</v>
      </c>
      <c r="AQ4" s="37" t="n">
        <v>-457</v>
      </c>
      <c r="AR4" s="37" t="n">
        <v>-266</v>
      </c>
      <c r="AS4" s="37" t="n">
        <v>-121</v>
      </c>
      <c r="AT4" s="37" t="n">
        <v>-700</v>
      </c>
      <c r="AU4" t="n">
        <v>90</v>
      </c>
      <c r="AV4" t="n">
        <v>-773</v>
      </c>
      <c r="AW4" t="n">
        <v>-514</v>
      </c>
      <c r="AX4" t="n">
        <v>-114</v>
      </c>
      <c r="AY4" t="n">
        <v>532</v>
      </c>
      <c r="AZ4" t="n">
        <v>315</v>
      </c>
      <c r="BA4" t="n">
        <v>543</v>
      </c>
      <c r="BB4" t="n">
        <v>228</v>
      </c>
      <c r="BC4" t="n">
        <v>-133</v>
      </c>
      <c r="BE4" s="38">
        <f>SUM(Table22[[#This Row],[Net Investment
April 16-30, 2026]:[Net Investment
May 01-15, 2026]])</f>
        <v/>
      </c>
      <c r="BF4" s="38">
        <f>SUM(Table22[[#This Row],[Net Investment
April 01-15, 2026]:[Net Investment
May 01-15, 2026]])</f>
        <v/>
      </c>
      <c r="BG4" s="38">
        <f>SUM(Table22[[#This Row],[Net Investment
March 16-31, 2026]:[Net Investment
May 01-15, 2026]])</f>
        <v/>
      </c>
      <c r="BH4" s="38">
        <f>SUM(Table22[[#This Row],[Net Investment
March 01-15, 2026]:[Net Investment
May 01-15, 2026]])</f>
        <v/>
      </c>
      <c r="BI4" s="38">
        <f>SUM(Table22[[#This Row],[Net Investment
Feb 16-28, 2026]:[Net Investment
May 01-15, 2026]])</f>
        <v/>
      </c>
    </row>
    <row r="5" ht="39.95" customHeight="1" s="30">
      <c r="A5" s="10" t="inlineStr">
        <is>
          <t>Construction</t>
        </is>
      </c>
      <c r="B5" s="36" t="n">
        <v>-902</v>
      </c>
      <c r="C5" s="36" t="n">
        <v>-627</v>
      </c>
      <c r="D5" s="36" t="n">
        <v>-699</v>
      </c>
      <c r="E5" s="36" t="n">
        <v>-59</v>
      </c>
      <c r="F5" s="36" t="n">
        <v>584</v>
      </c>
      <c r="G5" s="36" t="n">
        <v>511</v>
      </c>
      <c r="H5" s="36" t="n">
        <v>-1723</v>
      </c>
      <c r="I5" s="36" t="n">
        <v>-2927</v>
      </c>
      <c r="J5" s="36" t="n">
        <v>1917</v>
      </c>
      <c r="K5" s="36" t="n">
        <v>89</v>
      </c>
      <c r="L5" s="36" t="n">
        <v>1148</v>
      </c>
      <c r="M5" s="36" t="n">
        <v>260</v>
      </c>
      <c r="N5" s="36" t="n">
        <v>-1623</v>
      </c>
      <c r="O5" s="36" t="n">
        <v>-1256</v>
      </c>
      <c r="P5" s="36" t="n">
        <v>-1886</v>
      </c>
      <c r="Q5" s="36" t="n">
        <v>-1465</v>
      </c>
      <c r="R5" s="36" t="n">
        <v>-864</v>
      </c>
      <c r="S5" s="36" t="n">
        <v>615</v>
      </c>
      <c r="T5" s="36" t="n">
        <v>-2461</v>
      </c>
      <c r="U5" s="36" t="n">
        <v>-425</v>
      </c>
      <c r="V5" s="36" t="n">
        <v>-190</v>
      </c>
      <c r="W5" s="36" t="n">
        <v>457</v>
      </c>
      <c r="X5" s="36" t="n">
        <v>-224</v>
      </c>
      <c r="Y5" s="36" t="n">
        <v>-14</v>
      </c>
      <c r="Z5" s="37" t="n">
        <v>-38</v>
      </c>
      <c r="AA5" s="37" t="n">
        <v>-1316</v>
      </c>
      <c r="AB5" s="37" t="n">
        <v>1378</v>
      </c>
      <c r="AC5" s="37" t="n">
        <v>-22</v>
      </c>
      <c r="AD5" s="37" t="n">
        <v>130</v>
      </c>
      <c r="AE5" s="37" t="n">
        <v>726</v>
      </c>
      <c r="AF5" s="37" t="n">
        <v>641</v>
      </c>
      <c r="AG5" s="37" t="n">
        <v>1592</v>
      </c>
      <c r="AH5" s="37" t="n">
        <v>-330</v>
      </c>
      <c r="AI5" s="37" t="n">
        <v>-112</v>
      </c>
      <c r="AJ5" s="37" t="n">
        <v>-175</v>
      </c>
      <c r="AK5" s="37" t="n">
        <v>382</v>
      </c>
      <c r="AL5" s="37" t="n">
        <v>-455</v>
      </c>
      <c r="AM5" s="37" t="n">
        <v>-1077</v>
      </c>
      <c r="AN5" s="37" t="n">
        <v>1745</v>
      </c>
      <c r="AO5" s="37" t="n">
        <v>2742</v>
      </c>
      <c r="AP5" s="37" t="n">
        <v>-2975</v>
      </c>
      <c r="AQ5" s="37" t="n">
        <v>-6179</v>
      </c>
      <c r="AR5" s="37" t="n">
        <v>-1273</v>
      </c>
      <c r="AS5" s="37" t="n">
        <v>2199</v>
      </c>
      <c r="AT5" s="37" t="n">
        <v>-991</v>
      </c>
      <c r="AU5" t="n">
        <v>-220</v>
      </c>
      <c r="AV5" t="n">
        <v>-603</v>
      </c>
      <c r="AW5" t="n">
        <v>3484</v>
      </c>
      <c r="AX5" t="n">
        <v>403</v>
      </c>
      <c r="AY5" t="n">
        <v>-1602</v>
      </c>
      <c r="AZ5" t="n">
        <v>-404</v>
      </c>
      <c r="BA5" t="n">
        <v>442</v>
      </c>
      <c r="BB5" t="n">
        <v>930</v>
      </c>
      <c r="BC5" t="n">
        <v>381</v>
      </c>
      <c r="BE5" s="38">
        <f>SUM(Table22[[#This Row],[Net Investment
April 16-30, 2026]:[Net Investment
May 01-15, 2026]])</f>
        <v/>
      </c>
      <c r="BF5" s="38">
        <f>SUM(Table22[[#This Row],[Net Investment
April 01-15, 2026]:[Net Investment
May 01-15, 2026]])</f>
        <v/>
      </c>
      <c r="BG5" s="38">
        <f>SUM(Table22[[#This Row],[Net Investment
March 16-31, 2026]:[Net Investment
May 01-15, 2026]])</f>
        <v/>
      </c>
      <c r="BH5" s="38">
        <f>SUM(Table22[[#This Row],[Net Investment
March 01-15, 2026]:[Net Investment
May 01-15, 2026]])</f>
        <v/>
      </c>
      <c r="BI5" s="38">
        <f>SUM(Table22[[#This Row],[Net Investment
Feb 16-28, 2026]:[Net Investment
May 01-15, 2026]])</f>
        <v/>
      </c>
    </row>
    <row r="6" ht="39.95" customHeight="1" s="30">
      <c r="A6" s="10" t="inlineStr">
        <is>
          <t>Construction Materials</t>
        </is>
      </c>
      <c r="B6" s="36" t="n">
        <v>194</v>
      </c>
      <c r="C6" s="36" t="n">
        <v>486</v>
      </c>
      <c r="D6" s="36" t="n">
        <v>-2036</v>
      </c>
      <c r="E6" s="36" t="n">
        <v>894</v>
      </c>
      <c r="F6" s="36" t="n">
        <v>-393</v>
      </c>
      <c r="G6" s="36" t="n">
        <v>-508</v>
      </c>
      <c r="H6" s="36" t="n">
        <v>-1426</v>
      </c>
      <c r="I6" s="36" t="n">
        <v>-2014</v>
      </c>
      <c r="J6" s="36" t="n">
        <v>-802</v>
      </c>
      <c r="K6" s="36" t="n">
        <v>-1913</v>
      </c>
      <c r="L6" s="36" t="n">
        <v>-174</v>
      </c>
      <c r="M6" s="36" t="n">
        <v>-196</v>
      </c>
      <c r="N6" s="36" t="n">
        <v>-793</v>
      </c>
      <c r="O6" s="36" t="n">
        <v>-1277</v>
      </c>
      <c r="P6" s="36" t="n">
        <v>-2024</v>
      </c>
      <c r="Q6" s="36" t="n">
        <v>-1820</v>
      </c>
      <c r="R6" s="36" t="n">
        <v>-1465</v>
      </c>
      <c r="S6" s="36" t="n">
        <v>-132</v>
      </c>
      <c r="T6" s="36" t="n">
        <v>-612</v>
      </c>
      <c r="U6" s="36" t="n">
        <v>415</v>
      </c>
      <c r="V6" s="36" t="n">
        <v>155</v>
      </c>
      <c r="W6" s="36" t="n">
        <v>420</v>
      </c>
      <c r="X6" s="36" t="n">
        <v>-584</v>
      </c>
      <c r="Y6" s="36" t="n">
        <v>842</v>
      </c>
      <c r="Z6" s="37" t="n">
        <v>136</v>
      </c>
      <c r="AA6" s="37" t="n">
        <v>193</v>
      </c>
      <c r="AB6" s="37" t="n">
        <v>1690</v>
      </c>
      <c r="AC6" s="37" t="n">
        <v>785</v>
      </c>
      <c r="AD6" s="37" t="n">
        <v>-1193</v>
      </c>
      <c r="AE6" s="37" t="n">
        <v>-220</v>
      </c>
      <c r="AF6" s="37" t="n">
        <v>-94</v>
      </c>
      <c r="AG6" s="37" t="n">
        <v>-1198</v>
      </c>
      <c r="AH6" s="37" t="n">
        <v>-369</v>
      </c>
      <c r="AI6" s="37" t="n">
        <v>-492</v>
      </c>
      <c r="AJ6" s="37" t="n">
        <v>-1125</v>
      </c>
      <c r="AK6" s="37" t="n">
        <v>-549</v>
      </c>
      <c r="AL6" s="37" t="n">
        <v>-481</v>
      </c>
      <c r="AM6" s="37" t="n">
        <v>-376</v>
      </c>
      <c r="AN6" s="37" t="n">
        <v>378</v>
      </c>
      <c r="AO6" s="37" t="n">
        <v>-57</v>
      </c>
      <c r="AP6" s="37" t="n">
        <v>-1492</v>
      </c>
      <c r="AQ6" s="37" t="n">
        <v>-1652</v>
      </c>
      <c r="AR6" s="37" t="n">
        <v>-601</v>
      </c>
      <c r="AS6" s="37" t="n">
        <v>-670</v>
      </c>
      <c r="AT6" s="37" t="n">
        <v>-1207</v>
      </c>
      <c r="AU6" t="n">
        <v>-434</v>
      </c>
      <c r="AV6" t="n">
        <v>-2426</v>
      </c>
      <c r="AW6" t="n">
        <v>-650</v>
      </c>
      <c r="AX6" t="n">
        <v>1574</v>
      </c>
      <c r="AY6" t="n">
        <v>871</v>
      </c>
      <c r="AZ6" t="n">
        <v>384</v>
      </c>
      <c r="BA6" t="n">
        <v>-250</v>
      </c>
      <c r="BB6" t="n">
        <v>-358</v>
      </c>
      <c r="BC6" t="n">
        <v>-847</v>
      </c>
      <c r="BE6" s="38">
        <f>SUM(Table22[[#This Row],[Net Investment
April 16-30, 2026]:[Net Investment
May 01-15, 2026]])</f>
        <v/>
      </c>
      <c r="BF6" s="38">
        <f>SUM(Table22[[#This Row],[Net Investment
April 01-15, 2026]:[Net Investment
May 01-15, 2026]])</f>
        <v/>
      </c>
      <c r="BG6" s="38">
        <f>SUM(Table22[[#This Row],[Net Investment
March 16-31, 2026]:[Net Investment
May 01-15, 2026]])</f>
        <v/>
      </c>
      <c r="BH6" s="38">
        <f>SUM(Table22[[#This Row],[Net Investment
March 01-15, 2026]:[Net Investment
May 01-15, 2026]])</f>
        <v/>
      </c>
      <c r="BI6" s="38">
        <f>SUM(Table22[[#This Row],[Net Investment
Feb 16-28, 2026]:[Net Investment
May 01-15, 2026]])</f>
        <v/>
      </c>
    </row>
    <row r="7" ht="39.95" customHeight="1" s="30">
      <c r="A7" s="10" t="inlineStr">
        <is>
          <t>Consumer Durables</t>
        </is>
      </c>
      <c r="B7" s="36" t="n">
        <v>125</v>
      </c>
      <c r="C7" s="36" t="n">
        <v>-313</v>
      </c>
      <c r="D7" s="36" t="n">
        <v>-584</v>
      </c>
      <c r="E7" s="36" t="n">
        <v>5297</v>
      </c>
      <c r="F7" s="36" t="n">
        <v>2226</v>
      </c>
      <c r="G7" s="36" t="n">
        <v>1510</v>
      </c>
      <c r="H7" s="36" t="n">
        <v>-846</v>
      </c>
      <c r="I7" s="36" t="n">
        <v>-2017</v>
      </c>
      <c r="J7" s="36" t="n">
        <v>-433</v>
      </c>
      <c r="K7" s="36" t="n">
        <v>426</v>
      </c>
      <c r="L7" s="36" t="n">
        <v>-748</v>
      </c>
      <c r="M7" s="36" t="n">
        <v>-152</v>
      </c>
      <c r="N7" s="36" t="n">
        <v>-931</v>
      </c>
      <c r="O7" s="36" t="n">
        <v>-2869</v>
      </c>
      <c r="P7" s="36" t="n">
        <v>-1049</v>
      </c>
      <c r="Q7" s="36" t="n">
        <v>-1241</v>
      </c>
      <c r="R7" s="36" t="n">
        <v>-1566</v>
      </c>
      <c r="S7" s="36" t="n">
        <v>48</v>
      </c>
      <c r="T7" s="36" t="n">
        <v>-1026</v>
      </c>
      <c r="U7" s="36" t="n">
        <v>965</v>
      </c>
      <c r="V7" s="36" t="n">
        <v>-622</v>
      </c>
      <c r="W7" s="36" t="n">
        <v>-1112</v>
      </c>
      <c r="X7" s="36" t="n">
        <v>-1893</v>
      </c>
      <c r="Y7" s="36" t="n">
        <v>-600</v>
      </c>
      <c r="Z7" s="37" t="n">
        <v>-1292</v>
      </c>
      <c r="AA7" s="37" t="n">
        <v>-1322</v>
      </c>
      <c r="AB7" s="37" t="n">
        <v>-1133</v>
      </c>
      <c r="AC7" s="37" t="n">
        <v>-836</v>
      </c>
      <c r="AD7" s="37" t="n">
        <v>-326</v>
      </c>
      <c r="AE7" s="37" t="n">
        <v>-3301</v>
      </c>
      <c r="AF7" s="37" t="n">
        <v>-213</v>
      </c>
      <c r="AG7" s="37" t="n">
        <v>-1543</v>
      </c>
      <c r="AH7" s="37" t="n">
        <v>-1379</v>
      </c>
      <c r="AI7" s="37" t="n">
        <v>1273</v>
      </c>
      <c r="AJ7" s="37" t="n">
        <v>401</v>
      </c>
      <c r="AK7" s="37" t="n">
        <v>198</v>
      </c>
      <c r="AL7" s="37" t="n">
        <v>322</v>
      </c>
      <c r="AM7" s="37" t="n">
        <v>-1372</v>
      </c>
      <c r="AN7" s="37" t="n">
        <v>-434</v>
      </c>
      <c r="AO7" s="37" t="n">
        <v>-322</v>
      </c>
      <c r="AP7" s="37" t="n">
        <v>-1727</v>
      </c>
      <c r="AQ7" s="37" t="n">
        <v>-1175</v>
      </c>
      <c r="AR7" s="37" t="n">
        <v>-361</v>
      </c>
      <c r="AS7" s="37" t="n">
        <v>441</v>
      </c>
      <c r="AT7" s="37" t="n">
        <v>-1162</v>
      </c>
      <c r="AU7" t="n">
        <v>-287</v>
      </c>
      <c r="AV7" t="n">
        <v>-634</v>
      </c>
      <c r="AW7" t="n">
        <v>2564</v>
      </c>
      <c r="AX7" t="n">
        <v>2384</v>
      </c>
      <c r="AY7" t="n">
        <v>4958</v>
      </c>
      <c r="AZ7" t="n">
        <v>1472</v>
      </c>
      <c r="BA7" t="n">
        <v>2431</v>
      </c>
      <c r="BB7" t="n">
        <v>-397</v>
      </c>
      <c r="BC7" t="n">
        <v>-1508</v>
      </c>
      <c r="BE7" s="38">
        <f>SUM(Table22[[#This Row],[Net Investment
April 16-30, 2026]:[Net Investment
May 01-15, 2026]])</f>
        <v/>
      </c>
      <c r="BF7" s="38">
        <f>SUM(Table22[[#This Row],[Net Investment
April 01-15, 2026]:[Net Investment
May 01-15, 2026]])</f>
        <v/>
      </c>
      <c r="BG7" s="38">
        <f>SUM(Table22[[#This Row],[Net Investment
March 16-31, 2026]:[Net Investment
May 01-15, 2026]])</f>
        <v/>
      </c>
      <c r="BH7" s="38">
        <f>SUM(Table22[[#This Row],[Net Investment
March 01-15, 2026]:[Net Investment
May 01-15, 2026]])</f>
        <v/>
      </c>
      <c r="BI7" s="38">
        <f>SUM(Table22[[#This Row],[Net Investment
Feb 16-28, 2026]:[Net Investment
May 01-15, 2026]])</f>
        <v/>
      </c>
    </row>
    <row r="8" ht="39.95" customHeight="1" s="30">
      <c r="A8" s="10" t="inlineStr">
        <is>
          <t>Consumer Services</t>
        </is>
      </c>
      <c r="B8" s="36" t="n">
        <v>1642</v>
      </c>
      <c r="C8" s="36" t="n">
        <v>1787</v>
      </c>
      <c r="D8" s="36" t="n">
        <v>2196</v>
      </c>
      <c r="E8" s="36" t="n">
        <v>1962</v>
      </c>
      <c r="F8" s="36" t="n">
        <v>-156</v>
      </c>
      <c r="G8" s="36" t="n">
        <v>-2784</v>
      </c>
      <c r="H8" s="36" t="n">
        <v>-4633</v>
      </c>
      <c r="I8" s="36" t="n">
        <v>-4230</v>
      </c>
      <c r="J8" s="36" t="n">
        <v>-629</v>
      </c>
      <c r="K8" s="36" t="n">
        <v>471</v>
      </c>
      <c r="L8" s="36" t="n">
        <v>2715</v>
      </c>
      <c r="M8" s="36" t="n">
        <v>505</v>
      </c>
      <c r="N8" s="36" t="n">
        <v>-3507</v>
      </c>
      <c r="O8" s="36" t="n">
        <v>-4840</v>
      </c>
      <c r="P8" s="36" t="n">
        <v>-2262</v>
      </c>
      <c r="Q8" s="36" t="n">
        <v>-595</v>
      </c>
      <c r="R8" s="36" t="n">
        <v>-1900</v>
      </c>
      <c r="S8" s="36" t="n">
        <v>-1158</v>
      </c>
      <c r="T8" s="36" t="n">
        <v>-166</v>
      </c>
      <c r="U8" s="36" t="n">
        <v>1963</v>
      </c>
      <c r="V8" s="36" t="n">
        <v>1240</v>
      </c>
      <c r="W8" s="36" t="n">
        <v>-1731</v>
      </c>
      <c r="X8" s="36" t="n">
        <v>-1461</v>
      </c>
      <c r="Y8" s="36" t="n">
        <v>2809</v>
      </c>
      <c r="Z8" s="37" t="n">
        <v>953</v>
      </c>
      <c r="AA8" s="37" t="n">
        <v>2064</v>
      </c>
      <c r="AB8" s="37" t="n">
        <v>-948</v>
      </c>
      <c r="AC8" s="37" t="n">
        <v>490</v>
      </c>
      <c r="AD8" s="37" t="n">
        <v>-3246</v>
      </c>
      <c r="AE8" s="37" t="n">
        <v>-114</v>
      </c>
      <c r="AF8" s="37" t="n">
        <v>-1785</v>
      </c>
      <c r="AG8" s="37" t="n">
        <v>-1677</v>
      </c>
      <c r="AH8" s="37" t="n">
        <v>-2918</v>
      </c>
      <c r="AI8" s="37" t="n">
        <v>-1075</v>
      </c>
      <c r="AJ8" s="37" t="n">
        <v>-50</v>
      </c>
      <c r="AK8" s="37" t="n">
        <v>3390</v>
      </c>
      <c r="AL8" s="37" t="n">
        <v>-1952</v>
      </c>
      <c r="AM8" s="37" t="n">
        <v>-3561</v>
      </c>
      <c r="AN8" s="37" t="n">
        <v>1066</v>
      </c>
      <c r="AO8" s="37" t="n">
        <v>-5238</v>
      </c>
      <c r="AP8" s="37" t="n">
        <v>531</v>
      </c>
      <c r="AQ8" s="37" t="n">
        <v>-2672</v>
      </c>
      <c r="AR8" s="37" t="n">
        <v>-5336</v>
      </c>
      <c r="AS8" s="37" t="n">
        <v>-2434</v>
      </c>
      <c r="AT8" s="37" t="n">
        <v>-365</v>
      </c>
      <c r="AU8" t="n">
        <v>-1630</v>
      </c>
      <c r="AV8" t="n">
        <v>-1852</v>
      </c>
      <c r="AW8" t="n">
        <v>3081</v>
      </c>
      <c r="AX8" t="n">
        <v>7361</v>
      </c>
      <c r="AY8" t="n">
        <v>2840</v>
      </c>
      <c r="AZ8" t="n">
        <v>3398</v>
      </c>
      <c r="BA8" t="n">
        <v>5019</v>
      </c>
      <c r="BB8" t="n">
        <v>422</v>
      </c>
      <c r="BC8" t="n">
        <v>1911</v>
      </c>
      <c r="BE8" s="38">
        <f>SUM(Table22[[#This Row],[Net Investment
April 16-30, 2026]:[Net Investment
May 01-15, 2026]])</f>
        <v/>
      </c>
      <c r="BF8" s="38">
        <f>SUM(Table22[[#This Row],[Net Investment
April 01-15, 2026]:[Net Investment
May 01-15, 2026]])</f>
        <v/>
      </c>
      <c r="BG8" s="38">
        <f>SUM(Table22[[#This Row],[Net Investment
March 16-31, 2026]:[Net Investment
May 01-15, 2026]])</f>
        <v/>
      </c>
      <c r="BH8" s="38">
        <f>SUM(Table22[[#This Row],[Net Investment
March 01-15, 2026]:[Net Investment
May 01-15, 2026]])</f>
        <v/>
      </c>
      <c r="BI8" s="38">
        <f>SUM(Table22[[#This Row],[Net Investment
Feb 16-28, 2026]:[Net Investment
May 01-15, 2026]])</f>
        <v/>
      </c>
    </row>
    <row r="9" ht="39.95" customHeight="1" s="30">
      <c r="A9" s="10" t="inlineStr">
        <is>
          <t>Diversified</t>
        </is>
      </c>
      <c r="B9" s="36" t="n">
        <v>316</v>
      </c>
      <c r="C9" s="36" t="n">
        <v>54</v>
      </c>
      <c r="D9" s="36" t="n">
        <v>-69</v>
      </c>
      <c r="E9" s="36" t="n">
        <v>15</v>
      </c>
      <c r="F9" s="36" t="n">
        <v>13</v>
      </c>
      <c r="G9" s="36" t="n">
        <v>-21</v>
      </c>
      <c r="H9" s="36" t="n">
        <v>21</v>
      </c>
      <c r="I9" s="36" t="n">
        <v>0</v>
      </c>
      <c r="J9" s="36" t="n">
        <v>-17</v>
      </c>
      <c r="K9" s="36" t="n">
        <v>-6</v>
      </c>
      <c r="L9" s="36" t="n">
        <v>-96</v>
      </c>
      <c r="M9" s="36" t="n">
        <v>-101</v>
      </c>
      <c r="N9" s="36" t="n">
        <v>-60</v>
      </c>
      <c r="O9" s="36" t="n">
        <v>287</v>
      </c>
      <c r="P9" s="36" t="n">
        <v>-2</v>
      </c>
      <c r="Q9" s="36" t="n">
        <v>-249</v>
      </c>
      <c r="R9" s="36" t="n">
        <v>-279</v>
      </c>
      <c r="S9" s="36" t="n">
        <v>-38</v>
      </c>
      <c r="T9" s="36" t="n">
        <v>28</v>
      </c>
      <c r="U9" s="36" t="n">
        <v>5</v>
      </c>
      <c r="V9" s="36" t="n">
        <v>-1</v>
      </c>
      <c r="W9" s="36" t="n">
        <v>-111</v>
      </c>
      <c r="X9" s="36" t="n">
        <v>-353</v>
      </c>
      <c r="Y9" s="36" t="n">
        <v>-102</v>
      </c>
      <c r="Z9" s="37" t="n">
        <v>-22</v>
      </c>
      <c r="AA9" s="37" t="n">
        <v>-35</v>
      </c>
      <c r="AB9" s="37" t="n">
        <v>-58</v>
      </c>
      <c r="AC9" s="37" t="n">
        <v>-55</v>
      </c>
      <c r="AD9" s="37" t="n">
        <v>-34</v>
      </c>
      <c r="AE9" s="37" t="n">
        <v>-186</v>
      </c>
      <c r="AF9" s="37" t="n">
        <v>-34</v>
      </c>
      <c r="AG9" s="37" t="n">
        <v>-70</v>
      </c>
      <c r="AH9" s="37" t="n">
        <v>46</v>
      </c>
      <c r="AI9" s="37" t="n">
        <v>10</v>
      </c>
      <c r="AJ9" s="37" t="n">
        <v>-80</v>
      </c>
      <c r="AK9" s="37" t="n">
        <v>-29</v>
      </c>
      <c r="AL9" s="37" t="n">
        <v>-14</v>
      </c>
      <c r="AM9" s="37" t="n">
        <v>5</v>
      </c>
      <c r="AN9" s="37" t="n">
        <v>-2</v>
      </c>
      <c r="AO9" s="37" t="n">
        <v>2</v>
      </c>
      <c r="AP9" s="37" t="n">
        <v>0</v>
      </c>
      <c r="AQ9" s="37" t="n">
        <v>-21</v>
      </c>
      <c r="AR9" s="37" t="n">
        <v>5</v>
      </c>
      <c r="AS9" s="37" t="n">
        <v>3</v>
      </c>
      <c r="AT9" s="37" t="n">
        <v>33</v>
      </c>
      <c r="AU9" t="n">
        <v>-14</v>
      </c>
      <c r="AV9" t="n">
        <v>-13</v>
      </c>
      <c r="AW9" t="n">
        <v>7</v>
      </c>
      <c r="AX9" t="n">
        <v>29</v>
      </c>
      <c r="AY9" t="n">
        <v>-1</v>
      </c>
      <c r="AZ9" t="n">
        <v>-18</v>
      </c>
      <c r="BA9" t="n">
        <v>-4</v>
      </c>
      <c r="BB9" t="n">
        <v>-23</v>
      </c>
      <c r="BC9" t="n">
        <v>115</v>
      </c>
      <c r="BE9" s="38">
        <f>SUM(Table22[[#This Row],[Net Investment
April 16-30, 2026]:[Net Investment
May 01-15, 2026]])</f>
        <v/>
      </c>
      <c r="BF9" s="38">
        <f>SUM(Table22[[#This Row],[Net Investment
April 01-15, 2026]:[Net Investment
May 01-15, 2026]])</f>
        <v/>
      </c>
      <c r="BG9" s="38">
        <f>SUM(Table22[[#This Row],[Net Investment
March 16-31, 2026]:[Net Investment
May 01-15, 2026]])</f>
        <v/>
      </c>
      <c r="BH9" s="38">
        <f>SUM(Table22[[#This Row],[Net Investment
March 01-15, 2026]:[Net Investment
May 01-15, 2026]])</f>
        <v/>
      </c>
      <c r="BI9" s="38">
        <f>SUM(Table22[[#This Row],[Net Investment
Feb 16-28, 2026]:[Net Investment
May 01-15, 2026]])</f>
        <v/>
      </c>
    </row>
    <row r="10" ht="39.95" customHeight="1" s="30">
      <c r="A10" s="10" t="inlineStr">
        <is>
          <t>Fast Moving Consumer Goods</t>
        </is>
      </c>
      <c r="B10" s="36" t="n">
        <v>1809</v>
      </c>
      <c r="C10" s="36" t="n">
        <v>-834</v>
      </c>
      <c r="D10" s="36" t="n">
        <v>1785</v>
      </c>
      <c r="E10" s="36" t="n">
        <v>1815</v>
      </c>
      <c r="F10" s="36" t="n">
        <v>1372</v>
      </c>
      <c r="G10" s="36" t="n">
        <v>3528</v>
      </c>
      <c r="H10" s="36" t="n">
        <v>-6818</v>
      </c>
      <c r="I10" s="36" t="n">
        <v>-4764</v>
      </c>
      <c r="J10" s="36" t="n">
        <v>-3589</v>
      </c>
      <c r="K10" s="36" t="n">
        <v>2184</v>
      </c>
      <c r="L10" s="36" t="n">
        <v>-1655</v>
      </c>
      <c r="M10" s="36" t="n">
        <v>-1134</v>
      </c>
      <c r="N10" s="36" t="n">
        <v>-1134</v>
      </c>
      <c r="O10" s="36" t="n">
        <v>-4294</v>
      </c>
      <c r="P10" s="36" t="n">
        <v>-4336</v>
      </c>
      <c r="Q10" s="36" t="n">
        <v>-2568</v>
      </c>
      <c r="R10" s="36" t="n">
        <v>-5106</v>
      </c>
      <c r="S10" s="36" t="n">
        <v>-487</v>
      </c>
      <c r="T10" s="36" t="n">
        <v>587</v>
      </c>
      <c r="U10" s="36" t="n">
        <v>2330</v>
      </c>
      <c r="V10" s="36" t="n">
        <v>-1057</v>
      </c>
      <c r="W10" s="36" t="n">
        <v>1872</v>
      </c>
      <c r="X10" s="36" t="n">
        <v>-3626</v>
      </c>
      <c r="Y10" s="36" t="n">
        <v>-359</v>
      </c>
      <c r="Z10" s="37" t="n">
        <v>-1428</v>
      </c>
      <c r="AA10" s="37" t="n">
        <v>2986</v>
      </c>
      <c r="AB10" s="37" t="n">
        <v>-1150</v>
      </c>
      <c r="AC10" s="37" t="n">
        <v>53</v>
      </c>
      <c r="AD10" s="37" t="n">
        <v>-1092</v>
      </c>
      <c r="AE10" s="37" t="n">
        <v>-3110</v>
      </c>
      <c r="AF10" s="37" t="n">
        <v>-2992</v>
      </c>
      <c r="AG10" s="37" t="n">
        <v>-1267</v>
      </c>
      <c r="AH10" s="37" t="n">
        <v>-2042</v>
      </c>
      <c r="AI10" s="37" t="n">
        <v>-2722</v>
      </c>
      <c r="AJ10" s="37" t="n">
        <v>-1419</v>
      </c>
      <c r="AK10" s="37" t="n">
        <v>-4425</v>
      </c>
      <c r="AL10" s="37" t="n">
        <v>-6128</v>
      </c>
      <c r="AM10" s="37" t="n">
        <v>-1369</v>
      </c>
      <c r="AN10" s="37" t="n">
        <v>-1182</v>
      </c>
      <c r="AO10" s="37" t="n">
        <v>-769</v>
      </c>
      <c r="AP10" s="37" t="n">
        <v>-2403</v>
      </c>
      <c r="AQ10" s="37" t="n">
        <v>-3016</v>
      </c>
      <c r="AR10" s="37" t="n">
        <v>-2976</v>
      </c>
      <c r="AS10" s="37" t="n">
        <v>-229</v>
      </c>
      <c r="AT10" s="37" t="n">
        <v>-1625</v>
      </c>
      <c r="AU10" t="n">
        <v>-1936</v>
      </c>
      <c r="AV10" t="n">
        <v>-5063</v>
      </c>
      <c r="AW10" t="n">
        <v>-474</v>
      </c>
      <c r="AX10" t="n">
        <v>-1106</v>
      </c>
      <c r="AY10" t="n">
        <v>478</v>
      </c>
      <c r="AZ10" t="n">
        <v>-189</v>
      </c>
      <c r="BA10" t="n">
        <v>-1727</v>
      </c>
      <c r="BB10" t="n">
        <v>-2029</v>
      </c>
      <c r="BC10" t="n">
        <v>-972</v>
      </c>
      <c r="BE10" s="38">
        <f>SUM(Table22[[#This Row],[Net Investment
April 16-30, 2026]:[Net Investment
May 01-15, 2026]])</f>
        <v/>
      </c>
      <c r="BF10" s="38">
        <f>SUM(Table22[[#This Row],[Net Investment
April 01-15, 2026]:[Net Investment
May 01-15, 2026]])</f>
        <v/>
      </c>
      <c r="BG10" s="38">
        <f>SUM(Table22[[#This Row],[Net Investment
March 16-31, 2026]:[Net Investment
May 01-15, 2026]])</f>
        <v/>
      </c>
      <c r="BH10" s="38">
        <f>SUM(Table22[[#This Row],[Net Investment
March 01-15, 2026]:[Net Investment
May 01-15, 2026]])</f>
        <v/>
      </c>
      <c r="BI10" s="38">
        <f>SUM(Table22[[#This Row],[Net Investment
Feb 16-28, 2026]:[Net Investment
May 01-15, 2026]])</f>
        <v/>
      </c>
    </row>
    <row r="11" ht="39.95" customHeight="1" s="30">
      <c r="A11" s="10" t="inlineStr">
        <is>
          <t>Financial Services</t>
        </is>
      </c>
      <c r="B11" s="36" t="n">
        <v>471</v>
      </c>
      <c r="C11" s="36" t="n">
        <v>-8119</v>
      </c>
      <c r="D11" s="36" t="n">
        <v>-14790</v>
      </c>
      <c r="E11" s="36" t="n">
        <v>2782</v>
      </c>
      <c r="F11" s="36" t="n">
        <v>12253</v>
      </c>
      <c r="G11" s="36" t="n">
        <v>14947</v>
      </c>
      <c r="H11" s="36" t="n">
        <v>-23274</v>
      </c>
      <c r="I11" s="36" t="n">
        <v>-2865</v>
      </c>
      <c r="J11" s="36" t="n">
        <v>-7092</v>
      </c>
      <c r="K11" s="36" t="n">
        <v>9597</v>
      </c>
      <c r="L11" s="36" t="n">
        <v>7424</v>
      </c>
      <c r="M11" s="36" t="n">
        <v>-4338</v>
      </c>
      <c r="N11" s="36" t="n">
        <v>-12204</v>
      </c>
      <c r="O11" s="36" t="n">
        <v>-12745</v>
      </c>
      <c r="P11" s="36" t="n">
        <v>-5344</v>
      </c>
      <c r="Q11" s="36" t="n">
        <v>-1647</v>
      </c>
      <c r="R11" s="36" t="n">
        <v>-3311</v>
      </c>
      <c r="S11" s="36" t="n">
        <v>17585</v>
      </c>
      <c r="T11" s="36" t="n">
        <v>-4501</v>
      </c>
      <c r="U11" s="36" t="n">
        <v>22910</v>
      </c>
      <c r="V11" s="36" t="n">
        <v>4728</v>
      </c>
      <c r="W11" s="36" t="n">
        <v>-700</v>
      </c>
      <c r="X11" s="36" t="n">
        <v>4685</v>
      </c>
      <c r="Y11" s="36" t="n">
        <v>4261</v>
      </c>
      <c r="Z11" s="37" t="n">
        <v>820</v>
      </c>
      <c r="AA11" s="37" t="n">
        <v>-6720</v>
      </c>
      <c r="AB11" s="37" t="n">
        <v>-13471</v>
      </c>
      <c r="AC11" s="37" t="n">
        <v>-9817</v>
      </c>
      <c r="AD11" s="37" t="n">
        <v>1634</v>
      </c>
      <c r="AE11" s="37" t="n">
        <v>-642</v>
      </c>
      <c r="AF11" s="37" t="n">
        <v>8276</v>
      </c>
      <c r="AG11" s="37" t="n">
        <v>5003</v>
      </c>
      <c r="AH11" s="37" t="n">
        <v>-2041</v>
      </c>
      <c r="AI11" s="37" t="n">
        <v>-1137</v>
      </c>
      <c r="AJ11" s="37" t="n">
        <v>-6516</v>
      </c>
      <c r="AK11" s="37" t="n">
        <v>-4009</v>
      </c>
      <c r="AL11" s="37" t="n">
        <v>-3190</v>
      </c>
      <c r="AM11" s="37" t="n">
        <v>-5402</v>
      </c>
      <c r="AN11" s="37" t="n">
        <v>6175</v>
      </c>
      <c r="AO11" s="37" t="n">
        <v>2243</v>
      </c>
      <c r="AP11" s="37" t="n">
        <v>-31831</v>
      </c>
      <c r="AQ11" s="37" t="n">
        <v>-28824</v>
      </c>
      <c r="AR11" s="37" t="n">
        <v>-19152</v>
      </c>
      <c r="AS11" s="37" t="n">
        <v>-11704</v>
      </c>
      <c r="AT11" s="37" t="n">
        <v>-17960</v>
      </c>
      <c r="AU11" t="n">
        <v>-5181</v>
      </c>
      <c r="AV11" t="n">
        <v>-11263</v>
      </c>
      <c r="AW11" t="n">
        <v>14634</v>
      </c>
      <c r="AX11" t="n">
        <v>1975</v>
      </c>
      <c r="AY11" t="n">
        <v>-2669</v>
      </c>
      <c r="AZ11" t="n">
        <v>6535</v>
      </c>
      <c r="BA11" t="n">
        <v>3959</v>
      </c>
      <c r="BB11" t="n">
        <v>-6204</v>
      </c>
      <c r="BC11" t="n">
        <v>-6943</v>
      </c>
      <c r="BE11" s="38">
        <f>SUM(Table22[[#This Row],[Net Investment
April 16-30, 2026]:[Net Investment
May 01-15, 2026]])</f>
        <v/>
      </c>
      <c r="BF11" s="38">
        <f>SUM(Table22[[#This Row],[Net Investment
April 01-15, 2026]:[Net Investment
May 01-15, 2026]])</f>
        <v/>
      </c>
      <c r="BG11" s="38">
        <f>SUM(Table22[[#This Row],[Net Investment
March 16-31, 2026]:[Net Investment
May 01-15, 2026]])</f>
        <v/>
      </c>
      <c r="BH11" s="38">
        <f>SUM(Table22[[#This Row],[Net Investment
March 01-15, 2026]:[Net Investment
May 01-15, 2026]])</f>
        <v/>
      </c>
      <c r="BI11" s="38">
        <f>SUM(Table22[[#This Row],[Net Investment
Feb 16-28, 2026]:[Net Investment
May 01-15, 2026]])</f>
        <v/>
      </c>
    </row>
    <row r="12" ht="39.95" customHeight="1" s="30">
      <c r="A12" s="10" t="inlineStr">
        <is>
          <t>Forest Materials</t>
        </is>
      </c>
      <c r="B12" s="36" t="n">
        <v>43</v>
      </c>
      <c r="C12" s="36" t="n">
        <v>107</v>
      </c>
      <c r="D12" s="36" t="n">
        <v>-76</v>
      </c>
      <c r="E12" s="36" t="n">
        <v>-26</v>
      </c>
      <c r="F12" s="36" t="n">
        <v>72</v>
      </c>
      <c r="G12" s="36" t="n">
        <v>-14</v>
      </c>
      <c r="H12" s="36" t="n">
        <v>9</v>
      </c>
      <c r="I12" s="36" t="inlineStr">
        <is>
          <t>-84</t>
        </is>
      </c>
      <c r="J12" s="36" t="n">
        <v>45</v>
      </c>
      <c r="K12" s="36" t="n">
        <v>29</v>
      </c>
      <c r="L12" s="36" t="n">
        <v>32</v>
      </c>
      <c r="M12" s="36" t="n">
        <v>33</v>
      </c>
      <c r="N12" s="36" t="n">
        <v>-80</v>
      </c>
      <c r="O12" s="36" t="n">
        <v>-35</v>
      </c>
      <c r="P12" s="36" t="n">
        <v>11</v>
      </c>
      <c r="Q12" s="36" t="n">
        <v>-28</v>
      </c>
      <c r="R12" s="36" t="n">
        <v>-22</v>
      </c>
      <c r="S12" s="36" t="n">
        <v>40</v>
      </c>
      <c r="T12" s="36" t="n">
        <v>-19</v>
      </c>
      <c r="U12" s="36" t="n">
        <v>-15</v>
      </c>
      <c r="V12" s="36" t="n">
        <v>-12</v>
      </c>
      <c r="W12" s="36" t="n">
        <v>21</v>
      </c>
      <c r="X12" s="36" t="n">
        <v>-15</v>
      </c>
      <c r="Y12" s="36" t="n">
        <v>-27</v>
      </c>
      <c r="Z12" s="37" t="n">
        <v>14</v>
      </c>
      <c r="AA12" s="37" t="n">
        <v>25</v>
      </c>
      <c r="AB12" s="37" t="n">
        <v>-21</v>
      </c>
      <c r="AC12" s="37" t="n">
        <v>-27</v>
      </c>
      <c r="AD12" s="37" t="n">
        <v>-9</v>
      </c>
      <c r="AE12" s="37" t="n">
        <v>-15</v>
      </c>
      <c r="AF12" s="37" t="n">
        <v>77</v>
      </c>
      <c r="AG12" s="37" t="n">
        <v>17</v>
      </c>
      <c r="AH12" s="37" t="n">
        <v>-12</v>
      </c>
      <c r="AI12" s="37" t="n">
        <v>-19</v>
      </c>
      <c r="AJ12" s="37" t="n">
        <v>-54</v>
      </c>
      <c r="AK12" s="37" t="n">
        <v>0</v>
      </c>
      <c r="AL12" s="37" t="n">
        <v>-10</v>
      </c>
      <c r="AM12" s="37" t="n">
        <v>12</v>
      </c>
      <c r="AN12" s="37" t="n">
        <v>30</v>
      </c>
      <c r="AO12" s="37" t="n">
        <v>8</v>
      </c>
      <c r="AP12" s="37" t="n">
        <v>-4</v>
      </c>
      <c r="AQ12" s="37" t="n">
        <v>-13</v>
      </c>
      <c r="AR12" s="37" t="n">
        <v>-19</v>
      </c>
      <c r="AS12" s="37" t="n">
        <v>73</v>
      </c>
      <c r="AT12" s="37" t="n">
        <v>-41</v>
      </c>
      <c r="AU12" t="n">
        <v>1</v>
      </c>
      <c r="AV12" t="n">
        <v>-12</v>
      </c>
      <c r="AW12" t="n">
        <v>-12</v>
      </c>
      <c r="AX12" t="n">
        <v>-11</v>
      </c>
      <c r="AY12" t="n">
        <v>40</v>
      </c>
      <c r="AZ12" t="n">
        <v>-9</v>
      </c>
      <c r="BA12" t="n">
        <v>-7</v>
      </c>
      <c r="BB12" t="n">
        <v>7</v>
      </c>
      <c r="BC12" t="n">
        <v>6</v>
      </c>
      <c r="BE12" s="38">
        <f>SUM(Table22[[#This Row],[Net Investment
April 16-30, 2026]:[Net Investment
May 01-15, 2026]])</f>
        <v/>
      </c>
      <c r="BF12" s="38">
        <f>SUM(Table22[[#This Row],[Net Investment
April 01-15, 2026]:[Net Investment
May 01-15, 2026]])</f>
        <v/>
      </c>
      <c r="BG12" s="38">
        <f>SUM(Table22[[#This Row],[Net Investment
March 16-31, 2026]:[Net Investment
May 01-15, 2026]])</f>
        <v/>
      </c>
      <c r="BH12" s="38">
        <f>SUM(Table22[[#This Row],[Net Investment
March 01-15, 2026]:[Net Investment
May 01-15, 2026]])</f>
        <v/>
      </c>
      <c r="BI12" s="38">
        <f>SUM(Table22[[#This Row],[Net Investment
Feb 16-28, 2026]:[Net Investment
May 01-15, 2026]])</f>
        <v/>
      </c>
    </row>
    <row r="13" ht="39.95" customHeight="1" s="30">
      <c r="A13" s="10" t="inlineStr">
        <is>
          <t>Healthcare</t>
        </is>
      </c>
      <c r="B13" s="36" t="n">
        <v>2378</v>
      </c>
      <c r="C13" s="36" t="n">
        <v>2676</v>
      </c>
      <c r="D13" s="36" t="n">
        <v>3462</v>
      </c>
      <c r="E13" s="36" t="n">
        <v>2369</v>
      </c>
      <c r="F13" s="36" t="n">
        <v>3652</v>
      </c>
      <c r="G13" s="36" t="n">
        <v>2987</v>
      </c>
      <c r="H13" s="36" t="n">
        <v>-2376</v>
      </c>
      <c r="I13" s="36" t="n">
        <v>2321</v>
      </c>
      <c r="J13" s="36" t="n">
        <v>734</v>
      </c>
      <c r="K13" s="36" t="n">
        <v>-254</v>
      </c>
      <c r="L13" s="36" t="n">
        <v>1917</v>
      </c>
      <c r="M13" s="36" t="n">
        <v>1850</v>
      </c>
      <c r="N13" s="36" t="n">
        <v>-1460</v>
      </c>
      <c r="O13" s="36" t="n">
        <v>-2912</v>
      </c>
      <c r="P13" s="36" t="n">
        <v>1534</v>
      </c>
      <c r="Q13" s="36" t="n">
        <v>-2996</v>
      </c>
      <c r="R13" s="36" t="n">
        <v>-2049</v>
      </c>
      <c r="S13" s="36" t="n">
        <v>2138</v>
      </c>
      <c r="T13" s="36" t="n">
        <v>-1384</v>
      </c>
      <c r="U13" s="36" t="n">
        <v>656</v>
      </c>
      <c r="V13" s="36" t="n">
        <v>-606</v>
      </c>
      <c r="W13" s="36" t="n">
        <v>-2008</v>
      </c>
      <c r="X13" s="36" t="n">
        <v>39</v>
      </c>
      <c r="Y13" s="36" t="n">
        <v>-442</v>
      </c>
      <c r="Z13" s="37" t="n">
        <v>-757</v>
      </c>
      <c r="AA13" s="37" t="n">
        <v>700</v>
      </c>
      <c r="AB13" s="37" t="n">
        <v>-2095</v>
      </c>
      <c r="AC13" s="37" t="n">
        <v>678</v>
      </c>
      <c r="AD13" s="37" t="n">
        <v>-1601</v>
      </c>
      <c r="AE13" s="37" t="n">
        <v>-4521</v>
      </c>
      <c r="AF13" s="37" t="n">
        <v>-2739</v>
      </c>
      <c r="AG13" s="37" t="n">
        <v>-365</v>
      </c>
      <c r="AH13" s="37" t="n">
        <v>-2526</v>
      </c>
      <c r="AI13" s="37" t="n">
        <v>743</v>
      </c>
      <c r="AJ13" s="37" t="n">
        <v>-2351</v>
      </c>
      <c r="AK13" s="37" t="n">
        <v>-643</v>
      </c>
      <c r="AL13" s="37" t="n">
        <v>-1049</v>
      </c>
      <c r="AM13" s="37" t="n">
        <v>-5113</v>
      </c>
      <c r="AN13" s="37" t="n">
        <v>-1051</v>
      </c>
      <c r="AO13" s="37" t="n">
        <v>722</v>
      </c>
      <c r="AP13" s="37" t="n">
        <v>-2436</v>
      </c>
      <c r="AQ13" s="37" t="n">
        <v>-2202</v>
      </c>
      <c r="AR13" s="37" t="n">
        <v>-4481</v>
      </c>
      <c r="AS13" s="37" t="n">
        <v>-2445</v>
      </c>
      <c r="AT13" s="37" t="n">
        <v>-418</v>
      </c>
      <c r="AU13" t="n">
        <v>601</v>
      </c>
      <c r="AV13" t="n">
        <v>-4501</v>
      </c>
      <c r="AW13" t="n">
        <v>1435</v>
      </c>
      <c r="AX13" t="n">
        <v>4101</v>
      </c>
      <c r="AY13" t="n">
        <v>3654</v>
      </c>
      <c r="AZ13" t="n">
        <v>2910</v>
      </c>
      <c r="BA13" t="n">
        <v>3021</v>
      </c>
      <c r="BB13" t="n">
        <v>2114</v>
      </c>
      <c r="BC13" t="n">
        <v>3</v>
      </c>
      <c r="BE13" s="38">
        <f>SUM(Table22[[#This Row],[Net Investment
April 16-30, 2026]:[Net Investment
May 01-15, 2026]])</f>
        <v/>
      </c>
      <c r="BF13" s="38">
        <f>SUM(Table22[[#This Row],[Net Investment
April 01-15, 2026]:[Net Investment
May 01-15, 2026]])</f>
        <v/>
      </c>
      <c r="BG13" s="38">
        <f>SUM(Table22[[#This Row],[Net Investment
March 16-31, 2026]:[Net Investment
May 01-15, 2026]])</f>
        <v/>
      </c>
      <c r="BH13" s="38">
        <f>SUM(Table22[[#This Row],[Net Investment
March 01-15, 2026]:[Net Investment
May 01-15, 2026]])</f>
        <v/>
      </c>
      <c r="BI13" s="38">
        <f>SUM(Table22[[#This Row],[Net Investment
Feb 16-28, 2026]:[Net Investment
May 01-15, 2026]])</f>
        <v/>
      </c>
    </row>
    <row r="14" ht="39.95" customHeight="1" s="30">
      <c r="A14" s="10" t="inlineStr">
        <is>
          <t>Information Technology</t>
        </is>
      </c>
      <c r="B14" s="36" t="n">
        <v>2765</v>
      </c>
      <c r="C14" s="36" t="n">
        <v>8998</v>
      </c>
      <c r="D14" s="36" t="n">
        <v>-493</v>
      </c>
      <c r="E14" s="36" t="n">
        <v>4529</v>
      </c>
      <c r="F14" s="36" t="n">
        <v>48</v>
      </c>
      <c r="G14" s="36" t="n">
        <v>-1267</v>
      </c>
      <c r="H14" s="36" t="n">
        <v>-2727</v>
      </c>
      <c r="I14" s="36" t="n">
        <v>-172</v>
      </c>
      <c r="J14" s="36" t="n">
        <v>3087</v>
      </c>
      <c r="K14" s="36" t="n">
        <v>2429</v>
      </c>
      <c r="L14" s="36" t="n">
        <v>6754</v>
      </c>
      <c r="M14" s="36" t="n">
        <v>2296</v>
      </c>
      <c r="N14" s="36" t="n">
        <v>-1927</v>
      </c>
      <c r="O14" s="36" t="n">
        <v>-4544</v>
      </c>
      <c r="P14" s="36" t="n">
        <v>693</v>
      </c>
      <c r="Q14" s="36" t="n">
        <v>112</v>
      </c>
      <c r="R14" s="36" t="n">
        <v>-6934</v>
      </c>
      <c r="S14" s="36" t="n">
        <v>-1517</v>
      </c>
      <c r="T14" s="36" t="n">
        <v>-13828</v>
      </c>
      <c r="U14" s="36" t="n">
        <v>-1385</v>
      </c>
      <c r="V14" s="36" t="n">
        <v>289</v>
      </c>
      <c r="W14" s="36" t="n">
        <v>-2725</v>
      </c>
      <c r="X14" s="36" t="n">
        <v>-1713</v>
      </c>
      <c r="Y14" s="36" t="n">
        <v>2879</v>
      </c>
      <c r="Z14" s="37" t="n">
        <v>-5479</v>
      </c>
      <c r="AA14" s="37" t="n">
        <v>-14422</v>
      </c>
      <c r="AB14" s="37" t="n">
        <v>-6380</v>
      </c>
      <c r="AC14" s="37" t="n">
        <v>-4905</v>
      </c>
      <c r="AD14" s="37" t="n">
        <v>-2014</v>
      </c>
      <c r="AE14" s="37" t="n">
        <v>-4036</v>
      </c>
      <c r="AF14" s="37" t="n">
        <v>-1927</v>
      </c>
      <c r="AG14" s="37" t="n">
        <v>-267</v>
      </c>
      <c r="AH14" s="37" t="n">
        <v>-4873</v>
      </c>
      <c r="AI14" s="37" t="n">
        <v>-921</v>
      </c>
      <c r="AJ14" s="37" t="n">
        <v>-3331</v>
      </c>
      <c r="AK14" s="37" t="n">
        <v>4457</v>
      </c>
      <c r="AL14" s="37" t="n">
        <v>-2075</v>
      </c>
      <c r="AM14" s="37" t="n">
        <v>240</v>
      </c>
      <c r="AN14" s="37" t="n">
        <v>-10956</v>
      </c>
      <c r="AO14" s="37" t="n">
        <v>-5993</v>
      </c>
      <c r="AP14" s="37" t="n">
        <v>-1263</v>
      </c>
      <c r="AQ14" s="37" t="n">
        <v>-611</v>
      </c>
      <c r="AR14" s="37" t="n">
        <v>-1325</v>
      </c>
      <c r="AS14" s="37" t="n">
        <v>-2887</v>
      </c>
      <c r="AT14" s="37" t="n">
        <v>-1643</v>
      </c>
      <c r="AU14" t="n">
        <v>-268</v>
      </c>
      <c r="AV14" t="n">
        <v>-6733</v>
      </c>
      <c r="AW14" t="n">
        <v>-733</v>
      </c>
      <c r="AX14" t="n">
        <v>60</v>
      </c>
      <c r="AY14" t="n">
        <v>3298</v>
      </c>
      <c r="AZ14" t="n">
        <v>2530</v>
      </c>
      <c r="BA14" t="n">
        <v>1573</v>
      </c>
      <c r="BB14" t="n">
        <v>-960</v>
      </c>
      <c r="BC14" t="n">
        <v>-38</v>
      </c>
      <c r="BE14" s="38">
        <f>SUM(Table22[[#This Row],[Net Investment
April 16-30, 2026]:[Net Investment
May 01-15, 2026]])</f>
        <v/>
      </c>
      <c r="BF14" s="38">
        <f>SUM(Table22[[#This Row],[Net Investment
April 01-15, 2026]:[Net Investment
May 01-15, 2026]])</f>
        <v/>
      </c>
      <c r="BG14" s="38">
        <f>SUM(Table22[[#This Row],[Net Investment
March 16-31, 2026]:[Net Investment
May 01-15, 2026]])</f>
        <v/>
      </c>
      <c r="BH14" s="38">
        <f>SUM(Table22[[#This Row],[Net Investment
March 01-15, 2026]:[Net Investment
May 01-15, 2026]])</f>
        <v/>
      </c>
      <c r="BI14" s="38">
        <f>SUM(Table22[[#This Row],[Net Investment
Feb 16-28, 2026]:[Net Investment
May 01-15, 2026]])</f>
        <v/>
      </c>
    </row>
    <row r="15" ht="39.95" customHeight="1" s="30">
      <c r="A15" s="10" t="inlineStr">
        <is>
          <t>Media, Entertainment &amp; Publication</t>
        </is>
      </c>
      <c r="B15" s="36" t="n">
        <v>338</v>
      </c>
      <c r="C15" s="36" t="n">
        <v>136</v>
      </c>
      <c r="D15" s="36" t="n">
        <v>-18</v>
      </c>
      <c r="E15" s="36" t="n">
        <v>-180</v>
      </c>
      <c r="F15" s="36" t="n">
        <v>143</v>
      </c>
      <c r="G15" s="36" t="n">
        <v>-25</v>
      </c>
      <c r="H15" s="36" t="n">
        <v>-85</v>
      </c>
      <c r="I15" s="36" t="n">
        <v>72</v>
      </c>
      <c r="J15" s="36" t="n">
        <v>52</v>
      </c>
      <c r="K15" s="36" t="n">
        <v>-55</v>
      </c>
      <c r="L15" s="36" t="n">
        <v>15</v>
      </c>
      <c r="M15" s="36" t="n">
        <v>110</v>
      </c>
      <c r="N15" s="36" t="n">
        <v>177</v>
      </c>
      <c r="O15" s="36" t="n">
        <v>3</v>
      </c>
      <c r="P15" s="36" t="n">
        <v>-12</v>
      </c>
      <c r="Q15" s="36" t="n">
        <v>34</v>
      </c>
      <c r="R15" s="36" t="n">
        <v>143</v>
      </c>
      <c r="S15" s="36" t="n">
        <v>303</v>
      </c>
      <c r="T15" s="36" t="n">
        <v>103</v>
      </c>
      <c r="U15" s="36" t="n">
        <v>9</v>
      </c>
      <c r="V15" s="36" t="n">
        <v>92</v>
      </c>
      <c r="W15" s="36" t="n">
        <v>45</v>
      </c>
      <c r="X15" s="36" t="n">
        <v>108</v>
      </c>
      <c r="Y15" s="36" t="n">
        <v>-74</v>
      </c>
      <c r="Z15" s="37" t="n">
        <v>-91</v>
      </c>
      <c r="AA15" s="37" t="n">
        <v>-106</v>
      </c>
      <c r="AB15" s="37" t="n">
        <v>-14</v>
      </c>
      <c r="AC15" s="37" t="n">
        <v>179</v>
      </c>
      <c r="AD15" s="37" t="n">
        <v>-16</v>
      </c>
      <c r="AE15" s="37" t="n">
        <v>93</v>
      </c>
      <c r="AF15" s="37" t="n">
        <v>87</v>
      </c>
      <c r="AG15" s="37" t="n">
        <v>-133</v>
      </c>
      <c r="AH15" s="37" t="n">
        <v>-148</v>
      </c>
      <c r="AI15" s="37" t="n">
        <v>-161</v>
      </c>
      <c r="AJ15" s="37" t="n">
        <v>-39</v>
      </c>
      <c r="AK15" s="37" t="n">
        <v>-281</v>
      </c>
      <c r="AL15" s="37" t="n">
        <v>-123</v>
      </c>
      <c r="AM15" s="37" t="n">
        <v>-55</v>
      </c>
      <c r="AN15" s="37" t="n">
        <v>134</v>
      </c>
      <c r="AO15" s="37" t="n">
        <v>-62</v>
      </c>
      <c r="AP15" s="37" t="n">
        <v>-57</v>
      </c>
      <c r="AQ15" s="37" t="n">
        <v>40</v>
      </c>
      <c r="AR15" s="37" t="n">
        <v>-59</v>
      </c>
      <c r="AS15" s="37" t="n">
        <v>-149</v>
      </c>
      <c r="AT15" s="37" t="n">
        <v>-12</v>
      </c>
      <c r="AU15" t="n">
        <v>-110</v>
      </c>
      <c r="AV15" t="n">
        <v>-232</v>
      </c>
      <c r="AW15" t="n">
        <v>-127</v>
      </c>
      <c r="AX15" t="n">
        <v>-289</v>
      </c>
      <c r="AY15" t="n">
        <v>24</v>
      </c>
      <c r="AZ15" t="n">
        <v>-6</v>
      </c>
      <c r="BA15" t="n">
        <v>72</v>
      </c>
      <c r="BB15" t="n">
        <v>-93</v>
      </c>
      <c r="BC15" t="n">
        <v>31</v>
      </c>
      <c r="BE15" s="38">
        <f>SUM(Table22[[#This Row],[Net Investment
April 16-30, 2026]:[Net Investment
May 01-15, 2026]])</f>
        <v/>
      </c>
      <c r="BF15" s="38">
        <f>SUM(Table22[[#This Row],[Net Investment
April 01-15, 2026]:[Net Investment
May 01-15, 2026]])</f>
        <v/>
      </c>
      <c r="BG15" s="38">
        <f>SUM(Table22[[#This Row],[Net Investment
March 16-31, 2026]:[Net Investment
May 01-15, 2026]])</f>
        <v/>
      </c>
      <c r="BH15" s="38">
        <f>SUM(Table22[[#This Row],[Net Investment
March 01-15, 2026]:[Net Investment
May 01-15, 2026]])</f>
        <v/>
      </c>
      <c r="BI15" s="38">
        <f>SUM(Table22[[#This Row],[Net Investment
Feb 16-28, 2026]:[Net Investment
May 01-15, 2026]])</f>
        <v/>
      </c>
    </row>
    <row r="16" ht="39.95" customHeight="1" s="30">
      <c r="A16" s="10" t="inlineStr">
        <is>
          <t>Metals &amp; Mining</t>
        </is>
      </c>
      <c r="B16" s="36" t="n">
        <v>1969</v>
      </c>
      <c r="C16" s="36" t="n">
        <v>5341</v>
      </c>
      <c r="D16" s="36" t="n">
        <v>-2668</v>
      </c>
      <c r="E16" s="36" t="n">
        <v>-1105</v>
      </c>
      <c r="F16" s="36" t="n">
        <v>-1857</v>
      </c>
      <c r="G16" s="36" t="n">
        <v>3012</v>
      </c>
      <c r="H16" s="36" t="n">
        <v>222</v>
      </c>
      <c r="I16" s="36" t="n">
        <v>-75</v>
      </c>
      <c r="J16" s="36" t="n">
        <v>-1291</v>
      </c>
      <c r="K16" s="36" t="n">
        <v>86</v>
      </c>
      <c r="L16" s="36" t="n">
        <v>847</v>
      </c>
      <c r="M16" s="36" t="n">
        <v>124</v>
      </c>
      <c r="N16" s="36" t="n">
        <v>-1997</v>
      </c>
      <c r="O16" s="36" t="n">
        <v>-385</v>
      </c>
      <c r="P16" s="36" t="n">
        <v>-558</v>
      </c>
      <c r="Q16" s="36" t="n">
        <v>-606</v>
      </c>
      <c r="R16" s="36" t="n">
        <v>1179</v>
      </c>
      <c r="S16" s="36" t="n">
        <v>722</v>
      </c>
      <c r="T16" s="36" t="n">
        <v>-2829</v>
      </c>
      <c r="U16" s="36" t="n">
        <v>-574</v>
      </c>
      <c r="V16" s="36" t="n">
        <v>104</v>
      </c>
      <c r="W16" s="36" t="n">
        <v>-34</v>
      </c>
      <c r="X16" s="36" t="n">
        <v>-558</v>
      </c>
      <c r="Y16" s="36" t="n">
        <v>201</v>
      </c>
      <c r="Z16" s="37" t="n">
        <v>1724</v>
      </c>
      <c r="AA16" s="37" t="n">
        <v>1641</v>
      </c>
      <c r="AB16" s="37" t="n">
        <v>606</v>
      </c>
      <c r="AC16" s="37" t="n">
        <v>-1266</v>
      </c>
      <c r="AD16" s="37" t="n">
        <v>1394</v>
      </c>
      <c r="AE16" s="37" t="n">
        <v>446</v>
      </c>
      <c r="AF16" s="37" t="n">
        <v>1395</v>
      </c>
      <c r="AG16" s="37" t="n">
        <v>1752</v>
      </c>
      <c r="AH16" s="37" t="n">
        <v>-109</v>
      </c>
      <c r="AI16" s="37" t="n">
        <v>-571</v>
      </c>
      <c r="AJ16" s="37" t="n">
        <v>807</v>
      </c>
      <c r="AK16" s="37" t="n">
        <v>2177</v>
      </c>
      <c r="AL16" s="37" t="n">
        <v>2689</v>
      </c>
      <c r="AM16" s="37" t="n">
        <v>8837</v>
      </c>
      <c r="AN16" s="37" t="n">
        <v>3279</v>
      </c>
      <c r="AO16" s="37" t="n">
        <v>2359</v>
      </c>
      <c r="AP16" s="37" t="n">
        <v>876</v>
      </c>
      <c r="AQ16" s="37" t="n">
        <v>-4041</v>
      </c>
      <c r="AR16" s="37" t="n">
        <v>-1198</v>
      </c>
      <c r="AS16" s="37" t="n">
        <v>2416</v>
      </c>
      <c r="AT16" s="37" t="n">
        <v>1698</v>
      </c>
      <c r="AU16" t="n">
        <v>4999</v>
      </c>
      <c r="AV16" t="n">
        <v>-4722</v>
      </c>
      <c r="AW16" t="n">
        <v>-4371</v>
      </c>
      <c r="AX16" t="n">
        <v>5993</v>
      </c>
      <c r="AY16" t="n">
        <v>-1056</v>
      </c>
      <c r="AZ16" t="n">
        <v>720</v>
      </c>
      <c r="BA16" t="n">
        <v>1087</v>
      </c>
      <c r="BB16" t="n">
        <v>-681</v>
      </c>
      <c r="BC16" t="n">
        <v>-2322</v>
      </c>
      <c r="BE16" s="38">
        <f>SUM(Table22[[#This Row],[Net Investment
April 16-30, 2026]:[Net Investment
May 01-15, 2026]])</f>
        <v/>
      </c>
      <c r="BF16" s="38">
        <f>SUM(Table22[[#This Row],[Net Investment
April 01-15, 2026]:[Net Investment
May 01-15, 2026]])</f>
        <v/>
      </c>
      <c r="BG16" s="38">
        <f>SUM(Table22[[#This Row],[Net Investment
March 16-31, 2026]:[Net Investment
May 01-15, 2026]])</f>
        <v/>
      </c>
      <c r="BH16" s="38">
        <f>SUM(Table22[[#This Row],[Net Investment
March 01-15, 2026]:[Net Investment
May 01-15, 2026]])</f>
        <v/>
      </c>
      <c r="BI16" s="38">
        <f>SUM(Table22[[#This Row],[Net Investment
Feb 16-28, 2026]:[Net Investment
May 01-15, 2026]])</f>
        <v/>
      </c>
    </row>
    <row r="17" ht="39.95" customHeight="1" s="30">
      <c r="A17" s="10" t="inlineStr">
        <is>
          <t>Oil, Gas &amp; Consumable Fuels</t>
        </is>
      </c>
      <c r="B17" s="36" t="n">
        <v>1944</v>
      </c>
      <c r="C17" s="36" t="n">
        <v>-325</v>
      </c>
      <c r="D17" s="36" t="n">
        <v>-1311</v>
      </c>
      <c r="E17" s="36" t="n">
        <v>2518</v>
      </c>
      <c r="F17" s="36" t="n">
        <v>1672</v>
      </c>
      <c r="G17" s="36" t="n">
        <v>-2312</v>
      </c>
      <c r="H17" s="36" t="n">
        <v>-12371</v>
      </c>
      <c r="I17" s="36" t="n">
        <v>-9073</v>
      </c>
      <c r="J17" s="36" t="n">
        <v>-7214</v>
      </c>
      <c r="K17" s="36" t="n">
        <v>-6132</v>
      </c>
      <c r="L17" s="36" t="n">
        <v>-5337</v>
      </c>
      <c r="M17" s="36" t="n">
        <v>-5489</v>
      </c>
      <c r="N17" s="36" t="n">
        <v>-1203</v>
      </c>
      <c r="O17" s="36" t="n">
        <v>-369</v>
      </c>
      <c r="P17" s="36" t="n">
        <v>-2434</v>
      </c>
      <c r="Q17" s="36" t="n">
        <v>-943</v>
      </c>
      <c r="R17" s="36" t="n">
        <v>-970</v>
      </c>
      <c r="S17" s="36" t="n">
        <v>-2449</v>
      </c>
      <c r="T17" s="36" t="n">
        <v>-2759</v>
      </c>
      <c r="U17" s="36" t="n">
        <v>2401</v>
      </c>
      <c r="V17" s="36" t="n">
        <v>2130</v>
      </c>
      <c r="W17" s="36" t="n">
        <v>390</v>
      </c>
      <c r="X17" s="36" t="n">
        <v>1199</v>
      </c>
      <c r="Y17" s="36" t="n">
        <v>4938</v>
      </c>
      <c r="Z17" s="37" t="n">
        <v>905</v>
      </c>
      <c r="AA17" s="37" t="n">
        <v>-4177</v>
      </c>
      <c r="AB17" s="37" t="n">
        <v>-4091</v>
      </c>
      <c r="AC17" s="37" t="n">
        <v>-2017</v>
      </c>
      <c r="AD17" s="37" t="n">
        <v>-1502</v>
      </c>
      <c r="AE17" s="37" t="n">
        <v>728</v>
      </c>
      <c r="AF17" s="37" t="n">
        <v>1086</v>
      </c>
      <c r="AG17" s="37" t="n">
        <v>8043</v>
      </c>
      <c r="AH17" s="37" t="n">
        <v>2992</v>
      </c>
      <c r="AI17" s="37" t="n">
        <v>4177</v>
      </c>
      <c r="AJ17" s="37" t="n">
        <v>3001</v>
      </c>
      <c r="AK17" s="37" t="n">
        <v>-645</v>
      </c>
      <c r="AL17" s="37" t="n">
        <v>-549</v>
      </c>
      <c r="AM17" s="37" t="n">
        <v>-391</v>
      </c>
      <c r="AN17" s="37" t="n">
        <v>4678</v>
      </c>
      <c r="AO17" s="37" t="n">
        <v>703</v>
      </c>
      <c r="AP17" s="37" t="n">
        <v>-2932</v>
      </c>
      <c r="AQ17" s="37" t="n">
        <v>-1197</v>
      </c>
      <c r="AR17" s="37" t="n">
        <v>-3352</v>
      </c>
      <c r="AS17" s="37" t="n">
        <v>-3351</v>
      </c>
      <c r="AT17" s="37" t="n">
        <v>-6885</v>
      </c>
      <c r="AU17" t="n">
        <v>-2093</v>
      </c>
      <c r="AV17" t="n">
        <v>-10488</v>
      </c>
      <c r="AW17" t="n">
        <v>-2789</v>
      </c>
      <c r="AX17" t="n">
        <v>258</v>
      </c>
      <c r="AY17" t="n">
        <v>-513</v>
      </c>
      <c r="AZ17" t="n">
        <v>490</v>
      </c>
      <c r="BA17" t="n">
        <v>-2251</v>
      </c>
      <c r="BB17" t="n">
        <v>-2385</v>
      </c>
      <c r="BC17" t="n">
        <v>-4469</v>
      </c>
      <c r="BE17" s="38">
        <f>SUM(Table22[[#This Row],[Net Investment
April 16-30, 2026]:[Net Investment
May 01-15, 2026]])</f>
        <v/>
      </c>
      <c r="BF17" s="38">
        <f>SUM(Table22[[#This Row],[Net Investment
April 01-15, 2026]:[Net Investment
May 01-15, 2026]])</f>
        <v/>
      </c>
      <c r="BG17" s="38">
        <f>SUM(Table22[[#This Row],[Net Investment
March 16-31, 2026]:[Net Investment
May 01-15, 2026]])</f>
        <v/>
      </c>
      <c r="BH17" s="38">
        <f>SUM(Table22[[#This Row],[Net Investment
March 01-15, 2026]:[Net Investment
May 01-15, 2026]])</f>
        <v/>
      </c>
      <c r="BI17" s="38">
        <f>SUM(Table22[[#This Row],[Net Investment
Feb 16-28, 2026]:[Net Investment
May 01-15, 2026]])</f>
        <v/>
      </c>
    </row>
    <row r="18" ht="39.95" customHeight="1" s="30">
      <c r="A18" s="10" t="inlineStr">
        <is>
          <t>Power</t>
        </is>
      </c>
      <c r="B18" s="36" t="n">
        <v>-891</v>
      </c>
      <c r="C18" s="36" t="n">
        <v>-2905</v>
      </c>
      <c r="D18" s="36" t="n">
        <v>1169</v>
      </c>
      <c r="E18" s="36" t="n">
        <v>-2305</v>
      </c>
      <c r="F18" s="36" t="n">
        <v>1167</v>
      </c>
      <c r="G18" s="36" t="n">
        <v>242</v>
      </c>
      <c r="H18" s="36" t="n">
        <v>-2678</v>
      </c>
      <c r="I18" s="36" t="n">
        <v>1168</v>
      </c>
      <c r="J18" s="36" t="n">
        <v>-906</v>
      </c>
      <c r="K18" s="36" t="n">
        <v>109</v>
      </c>
      <c r="L18" s="36" t="n">
        <v>-552</v>
      </c>
      <c r="M18" s="36" t="n">
        <v>-1310</v>
      </c>
      <c r="N18" s="36" t="n">
        <v>-3115</v>
      </c>
      <c r="O18" s="36" t="n">
        <v>-1083</v>
      </c>
      <c r="P18" s="36" t="n">
        <v>-1852</v>
      </c>
      <c r="Q18" s="36" t="n">
        <v>-1234</v>
      </c>
      <c r="R18" s="36" t="n">
        <v>-1867</v>
      </c>
      <c r="S18" s="36" t="n">
        <v>1627</v>
      </c>
      <c r="T18" s="36" t="n">
        <v>29</v>
      </c>
      <c r="U18" s="36" t="n">
        <v>878</v>
      </c>
      <c r="V18" s="36" t="n">
        <v>-720</v>
      </c>
      <c r="W18" s="36" t="n">
        <v>-1774</v>
      </c>
      <c r="X18" s="36" t="n">
        <v>-3120</v>
      </c>
      <c r="Y18" s="36" t="n">
        <v>-3191</v>
      </c>
      <c r="Z18" s="37" t="n">
        <v>203</v>
      </c>
      <c r="AA18" s="37" t="n">
        <v>-141</v>
      </c>
      <c r="AB18" s="37" t="n">
        <v>-2358</v>
      </c>
      <c r="AC18" s="37" t="n">
        <v>-1708</v>
      </c>
      <c r="AD18" s="37" t="n">
        <v>-2107</v>
      </c>
      <c r="AE18" s="37" t="n">
        <v>-586</v>
      </c>
      <c r="AF18" s="37" t="n">
        <v>1103</v>
      </c>
      <c r="AG18" s="37" t="n">
        <v>-138</v>
      </c>
      <c r="AH18" s="37" t="n">
        <v>-2512</v>
      </c>
      <c r="AI18" s="37" t="n">
        <v>-103</v>
      </c>
      <c r="AJ18" s="37" t="n">
        <v>-2118</v>
      </c>
      <c r="AK18" s="37" t="n">
        <v>-635</v>
      </c>
      <c r="AL18" s="37" t="n">
        <v>-340</v>
      </c>
      <c r="AM18" s="37" t="n">
        <v>-1527</v>
      </c>
      <c r="AN18" s="37" t="n">
        <v>3272</v>
      </c>
      <c r="AO18" s="37" t="n">
        <v>1234</v>
      </c>
      <c r="AP18" s="37" t="n">
        <v>602</v>
      </c>
      <c r="AQ18" s="37" t="n">
        <v>-832</v>
      </c>
      <c r="AR18" s="37" t="n">
        <v>601</v>
      </c>
      <c r="AS18" s="37" t="n">
        <v>4956</v>
      </c>
      <c r="AT18" s="37" t="n">
        <v>-1157</v>
      </c>
      <c r="AU18" t="n">
        <v>476</v>
      </c>
      <c r="AV18" t="n">
        <v>-2577</v>
      </c>
      <c r="AW18" t="n">
        <v>-3743</v>
      </c>
      <c r="AX18" t="n">
        <v>-1267</v>
      </c>
      <c r="AY18" t="n">
        <v>-1596</v>
      </c>
      <c r="AZ18" t="n">
        <v>-1164</v>
      </c>
      <c r="BA18" t="n">
        <v>-389</v>
      </c>
      <c r="BB18" t="n">
        <v>-1653</v>
      </c>
      <c r="BC18" t="n">
        <v>-570</v>
      </c>
      <c r="BE18" s="38">
        <f>SUM(Table22[[#This Row],[Net Investment
April 16-30, 2026]:[Net Investment
May 01-15, 2026]])</f>
        <v/>
      </c>
      <c r="BF18" s="38">
        <f>SUM(Table22[[#This Row],[Net Investment
April 01-15, 2026]:[Net Investment
May 01-15, 2026]])</f>
        <v/>
      </c>
      <c r="BG18" s="38">
        <f>SUM(Table22[[#This Row],[Net Investment
March 16-31, 2026]:[Net Investment
May 01-15, 2026]])</f>
        <v/>
      </c>
      <c r="BH18" s="38">
        <f>SUM(Table22[[#This Row],[Net Investment
March 01-15, 2026]:[Net Investment
May 01-15, 2026]])</f>
        <v/>
      </c>
      <c r="BI18" s="38">
        <f>SUM(Table22[[#This Row],[Net Investment
Feb 16-28, 2026]:[Net Investment
May 01-15, 2026]])</f>
        <v/>
      </c>
    </row>
    <row r="19" ht="39.95" customHeight="1" s="30">
      <c r="A19" s="10" t="inlineStr">
        <is>
          <t>Realty</t>
        </is>
      </c>
      <c r="B19" s="36" t="n">
        <v>192</v>
      </c>
      <c r="C19" s="36" t="n">
        <v>36</v>
      </c>
      <c r="D19" s="36" t="n">
        <v>-889</v>
      </c>
      <c r="E19" s="36" t="n">
        <v>-277</v>
      </c>
      <c r="F19" s="36" t="n">
        <v>2903</v>
      </c>
      <c r="G19" s="36" t="n">
        <v>2472</v>
      </c>
      <c r="H19" s="36" t="n">
        <v>-953</v>
      </c>
      <c r="I19" s="36" t="n">
        <v>-437</v>
      </c>
      <c r="J19" s="36" t="n">
        <v>694</v>
      </c>
      <c r="K19" s="36" t="n">
        <v>1367</v>
      </c>
      <c r="L19" s="36" t="n">
        <v>4689</v>
      </c>
      <c r="M19" s="36" t="n">
        <v>89</v>
      </c>
      <c r="N19" s="36" t="n">
        <v>-608</v>
      </c>
      <c r="O19" s="36" t="n">
        <v>-394</v>
      </c>
      <c r="P19" s="36" t="n">
        <v>-782</v>
      </c>
      <c r="Q19" s="36" t="n">
        <v>-407</v>
      </c>
      <c r="R19" s="36" t="n">
        <v>-27</v>
      </c>
      <c r="S19" s="36" t="n">
        <v>612</v>
      </c>
      <c r="T19" s="36" t="n">
        <v>-360</v>
      </c>
      <c r="U19" s="36" t="n">
        <v>-353</v>
      </c>
      <c r="V19" s="36" t="n">
        <v>-842</v>
      </c>
      <c r="W19" s="36" t="n">
        <v>-822</v>
      </c>
      <c r="X19" s="36" t="n">
        <v>431</v>
      </c>
      <c r="Y19" s="36" t="n">
        <v>910</v>
      </c>
      <c r="Z19" s="37" t="n">
        <v>-249</v>
      </c>
      <c r="AA19" s="37" t="n">
        <v>-3684</v>
      </c>
      <c r="AB19" s="37" t="n">
        <v>-1211</v>
      </c>
      <c r="AC19" s="37" t="n">
        <v>-34</v>
      </c>
      <c r="AD19" s="37" t="n">
        <v>-1927</v>
      </c>
      <c r="AE19" s="37" t="n">
        <v>-332</v>
      </c>
      <c r="AF19" s="37" t="n">
        <v>-807</v>
      </c>
      <c r="AG19" s="37" t="n">
        <v>1</v>
      </c>
      <c r="AH19" s="37" t="n">
        <v>236</v>
      </c>
      <c r="AI19" s="37" t="n">
        <v>-1045</v>
      </c>
      <c r="AJ19" s="37" t="n">
        <v>-670</v>
      </c>
      <c r="AK19" s="37" t="n">
        <v>-271</v>
      </c>
      <c r="AL19" s="37" t="n">
        <v>-699</v>
      </c>
      <c r="AM19" s="37" t="n">
        <v>-1956</v>
      </c>
      <c r="AN19" s="37" t="n">
        <v>786</v>
      </c>
      <c r="AO19" s="37" t="n">
        <v>-52</v>
      </c>
      <c r="AP19" s="37" t="n">
        <v>-2133</v>
      </c>
      <c r="AQ19" s="37" t="n">
        <v>-2560</v>
      </c>
      <c r="AR19" s="37" t="n">
        <v>-1917</v>
      </c>
      <c r="AS19" s="37" t="n">
        <v>-206</v>
      </c>
      <c r="AT19" s="37" t="n">
        <v>-430</v>
      </c>
      <c r="AU19" t="n">
        <v>30</v>
      </c>
      <c r="AV19" t="n">
        <v>-1093</v>
      </c>
      <c r="AW19" t="n">
        <v>1893</v>
      </c>
      <c r="AX19" t="n">
        <v>2072</v>
      </c>
      <c r="AY19" t="n">
        <v>-279</v>
      </c>
      <c r="AZ19" t="n">
        <v>-1014</v>
      </c>
      <c r="BA19" t="n">
        <v>420</v>
      </c>
      <c r="BB19" t="n">
        <v>-762</v>
      </c>
      <c r="BC19" t="n">
        <v>19</v>
      </c>
      <c r="BE19" s="38">
        <f>SUM(Table22[[#This Row],[Net Investment
April 16-30, 2026]:[Net Investment
May 01-15, 2026]])</f>
        <v/>
      </c>
      <c r="BF19" s="38">
        <f>SUM(Table22[[#This Row],[Net Investment
April 01-15, 2026]:[Net Investment
May 01-15, 2026]])</f>
        <v/>
      </c>
      <c r="BG19" s="38">
        <f>SUM(Table22[[#This Row],[Net Investment
March 16-31, 2026]:[Net Investment
May 01-15, 2026]])</f>
        <v/>
      </c>
      <c r="BH19" s="38">
        <f>SUM(Table22[[#This Row],[Net Investment
March 01-15, 2026]:[Net Investment
May 01-15, 2026]])</f>
        <v/>
      </c>
      <c r="BI19" s="38">
        <f>SUM(Table22[[#This Row],[Net Investment
Feb 16-28, 2026]:[Net Investment
May 01-15, 2026]])</f>
        <v/>
      </c>
    </row>
    <row r="20" ht="39.95" customHeight="1" s="30">
      <c r="A20" s="10" t="inlineStr">
        <is>
          <t>Services</t>
        </is>
      </c>
      <c r="B20" s="36" t="n">
        <v>547</v>
      </c>
      <c r="C20" s="36" t="n">
        <v>-2021</v>
      </c>
      <c r="D20" s="36" t="n">
        <v>-2088</v>
      </c>
      <c r="E20" s="36" t="n">
        <v>4251</v>
      </c>
      <c r="F20" s="36" t="n">
        <v>-422</v>
      </c>
      <c r="G20" s="36" t="n">
        <v>2147</v>
      </c>
      <c r="H20" s="36" t="n">
        <v>-937</v>
      </c>
      <c r="I20" s="36" t="n">
        <v>34</v>
      </c>
      <c r="J20" s="36" t="n">
        <v>-1250</v>
      </c>
      <c r="K20" s="36" t="n">
        <v>-2472</v>
      </c>
      <c r="L20" s="36" t="n">
        <v>553</v>
      </c>
      <c r="M20" s="36" t="n">
        <v>1211</v>
      </c>
      <c r="N20" s="36" t="n">
        <v>-259</v>
      </c>
      <c r="O20" s="36" t="n">
        <v>-1334</v>
      </c>
      <c r="P20" s="36" t="n">
        <v>267</v>
      </c>
      <c r="Q20" s="36" t="n">
        <v>-84</v>
      </c>
      <c r="R20" s="36" t="n">
        <v>305</v>
      </c>
      <c r="S20" s="36" t="n">
        <v>273</v>
      </c>
      <c r="T20" s="36" t="n">
        <v>-1175</v>
      </c>
      <c r="U20" s="36" t="n">
        <v>983</v>
      </c>
      <c r="V20" s="36" t="n">
        <v>1762</v>
      </c>
      <c r="W20" s="36" t="n">
        <v>6210</v>
      </c>
      <c r="X20" s="36" t="n">
        <v>403</v>
      </c>
      <c r="Y20" s="36" t="n">
        <v>-57</v>
      </c>
      <c r="Z20" s="37" t="n">
        <v>2733</v>
      </c>
      <c r="AA20" s="37" t="n">
        <v>724</v>
      </c>
      <c r="AB20" s="37" t="n">
        <v>384</v>
      </c>
      <c r="AC20" s="37" t="n">
        <v>1967</v>
      </c>
      <c r="AD20" s="37" t="n">
        <v>236</v>
      </c>
      <c r="AE20" s="37" t="n">
        <v>-1222</v>
      </c>
      <c r="AF20" s="37" t="n">
        <v>234</v>
      </c>
      <c r="AG20" s="37" t="n">
        <v>-21</v>
      </c>
      <c r="AH20" s="37" t="n">
        <v>-673</v>
      </c>
      <c r="AI20" s="37" t="n">
        <v>-307</v>
      </c>
      <c r="AJ20" s="37" t="n">
        <v>-3237</v>
      </c>
      <c r="AK20" s="37" t="n">
        <v>-1041</v>
      </c>
      <c r="AL20" s="37" t="n">
        <v>-1587</v>
      </c>
      <c r="AM20" s="37" t="n">
        <v>-384</v>
      </c>
      <c r="AN20" s="37" t="n">
        <v>1286</v>
      </c>
      <c r="AO20" s="37" t="n">
        <v>205</v>
      </c>
      <c r="AP20" s="37" t="n">
        <v>-1275</v>
      </c>
      <c r="AQ20" s="37" t="n">
        <v>-1300</v>
      </c>
      <c r="AR20" s="37" t="n">
        <v>-591</v>
      </c>
      <c r="AS20" s="37" t="n">
        <v>-362</v>
      </c>
      <c r="AT20" s="37" t="n">
        <v>7019</v>
      </c>
      <c r="AU20" t="n">
        <v>185</v>
      </c>
      <c r="AV20" t="n">
        <v>302</v>
      </c>
      <c r="AW20" t="n">
        <v>2592</v>
      </c>
      <c r="AX20" t="n">
        <v>2405</v>
      </c>
      <c r="AY20" t="n">
        <v>-1</v>
      </c>
      <c r="AZ20" t="n">
        <v>590</v>
      </c>
      <c r="BA20" t="n">
        <v>1193</v>
      </c>
      <c r="BB20" t="n">
        <v>905</v>
      </c>
      <c r="BC20" t="n">
        <v>1397</v>
      </c>
      <c r="BE20" s="38">
        <f>SUM(Table22[[#This Row],[Net Investment
April 16-30, 2026]:[Net Investment
May 01-15, 2026]])</f>
        <v/>
      </c>
      <c r="BF20" s="38">
        <f>SUM(Table22[[#This Row],[Net Investment
April 01-15, 2026]:[Net Investment
May 01-15, 2026]])</f>
        <v/>
      </c>
      <c r="BG20" s="38">
        <f>SUM(Table22[[#This Row],[Net Investment
March 16-31, 2026]:[Net Investment
May 01-15, 2026]])</f>
        <v/>
      </c>
      <c r="BH20" s="38">
        <f>SUM(Table22[[#This Row],[Net Investment
March 01-15, 2026]:[Net Investment
May 01-15, 2026]])</f>
        <v/>
      </c>
      <c r="BI20" s="38">
        <f>SUM(Table22[[#This Row],[Net Investment
Feb 16-28, 2026]:[Net Investment
May 01-15, 2026]])</f>
        <v/>
      </c>
    </row>
    <row r="21" ht="39.95" customHeight="1" s="30">
      <c r="A21" s="10" t="inlineStr">
        <is>
          <t>Telecommunication</t>
        </is>
      </c>
      <c r="B21" s="36" t="n">
        <v>934</v>
      </c>
      <c r="C21" s="36" t="n">
        <v>2204</v>
      </c>
      <c r="D21" s="36" t="n">
        <v>662</v>
      </c>
      <c r="E21" s="36" t="n">
        <v>1399</v>
      </c>
      <c r="F21" s="36" t="n">
        <v>1699</v>
      </c>
      <c r="G21" s="36" t="n">
        <v>236</v>
      </c>
      <c r="H21" s="36" t="n">
        <v>-1603</v>
      </c>
      <c r="I21" s="36" t="n">
        <v>-1095</v>
      </c>
      <c r="J21" s="36" t="n">
        <v>-2136</v>
      </c>
      <c r="K21" s="36" t="n">
        <v>-2942</v>
      </c>
      <c r="L21" s="36" t="n">
        <v>627</v>
      </c>
      <c r="M21" s="36" t="n">
        <v>-255</v>
      </c>
      <c r="N21" s="36" t="n">
        <v>-499</v>
      </c>
      <c r="O21" s="36" t="n">
        <v>643</v>
      </c>
      <c r="P21" s="36" t="n">
        <v>2337</v>
      </c>
      <c r="Q21" s="36" t="n">
        <v>5661</v>
      </c>
      <c r="R21" s="36" t="n">
        <v>-340</v>
      </c>
      <c r="S21" s="36" t="n">
        <v>3413</v>
      </c>
      <c r="T21" s="36" t="n">
        <v>2137</v>
      </c>
      <c r="U21" s="36" t="n">
        <v>2511</v>
      </c>
      <c r="V21" s="36" t="n">
        <v>1037</v>
      </c>
      <c r="W21" s="36" t="n">
        <v>7052</v>
      </c>
      <c r="X21" s="36" t="n">
        <v>-887</v>
      </c>
      <c r="Y21" s="36" t="n">
        <v>3620</v>
      </c>
      <c r="Z21" s="37" t="n">
        <v>283</v>
      </c>
      <c r="AA21" s="37" t="n">
        <v>1190</v>
      </c>
      <c r="AB21" s="37" t="n">
        <v>7446</v>
      </c>
      <c r="AC21" s="37" t="n">
        <v>-1680</v>
      </c>
      <c r="AD21" s="37" t="n">
        <v>-1505</v>
      </c>
      <c r="AE21" s="37" t="n">
        <v>-917</v>
      </c>
      <c r="AF21" s="37" t="n">
        <v>73</v>
      </c>
      <c r="AG21" s="37" t="n">
        <v>2087</v>
      </c>
      <c r="AH21" s="37" t="n">
        <v>9413</v>
      </c>
      <c r="AI21" s="37" t="n">
        <v>4913</v>
      </c>
      <c r="AJ21" s="37" t="n">
        <v>-879</v>
      </c>
      <c r="AK21" s="37" t="n">
        <v>1113</v>
      </c>
      <c r="AL21" s="37" t="n">
        <v>-1497</v>
      </c>
      <c r="AM21" s="37" t="n">
        <v>-3280</v>
      </c>
      <c r="AN21" s="37" t="n">
        <v>-106</v>
      </c>
      <c r="AO21" s="37" t="n">
        <v>-1775</v>
      </c>
      <c r="AP21" s="37" t="n">
        <v>-3856</v>
      </c>
      <c r="AQ21" s="37" t="n">
        <v>-1747</v>
      </c>
      <c r="AR21" s="37" t="n">
        <v>-2492</v>
      </c>
      <c r="AS21" s="37" t="n">
        <v>-1908</v>
      </c>
      <c r="AT21" s="37" t="n">
        <v>-2542</v>
      </c>
      <c r="AU21" t="n">
        <v>2127</v>
      </c>
      <c r="AV21" t="n">
        <v>373</v>
      </c>
      <c r="AW21" t="n">
        <v>-720</v>
      </c>
      <c r="AX21" t="n">
        <v>-2454</v>
      </c>
      <c r="AY21" t="n">
        <v>-3271</v>
      </c>
      <c r="AZ21" t="n">
        <v>-3322</v>
      </c>
      <c r="BA21" t="n">
        <v>-1661</v>
      </c>
      <c r="BB21" t="n">
        <v>-991</v>
      </c>
      <c r="BC21" t="n">
        <v>-2423</v>
      </c>
      <c r="BE21" s="38">
        <f>SUM(Table22[[#This Row],[Net Investment
April 16-30, 2026]:[Net Investment
May 01-15, 2026]])</f>
        <v/>
      </c>
      <c r="BF21" s="38">
        <f>SUM(Table22[[#This Row],[Net Investment
April 01-15, 2026]:[Net Investment
May 01-15, 2026]])</f>
        <v/>
      </c>
      <c r="BG21" s="38">
        <f>SUM(Table22[[#This Row],[Net Investment
March 16-31, 2026]:[Net Investment
May 01-15, 2026]])</f>
        <v/>
      </c>
      <c r="BH21" s="38">
        <f>SUM(Table22[[#This Row],[Net Investment
March 01-15, 2026]:[Net Investment
May 01-15, 2026]])</f>
        <v/>
      </c>
      <c r="BI21" s="38">
        <f>SUM(Table22[[#This Row],[Net Investment
Feb 16-28, 2026]:[Net Investment
May 01-15, 2026]])</f>
        <v/>
      </c>
    </row>
    <row r="22" ht="39.95" customHeight="1" s="30">
      <c r="A22" s="10" t="inlineStr">
        <is>
          <t>Textiles</t>
        </is>
      </c>
      <c r="B22" s="36" t="n">
        <v>41</v>
      </c>
      <c r="C22" s="36" t="n">
        <v>53</v>
      </c>
      <c r="D22" s="36" t="n">
        <v>116</v>
      </c>
      <c r="E22" s="36" t="n">
        <v>260</v>
      </c>
      <c r="F22" s="36" t="n">
        <v>-104</v>
      </c>
      <c r="G22" s="36" t="n">
        <v>85</v>
      </c>
      <c r="H22" s="36" t="n">
        <v>-68</v>
      </c>
      <c r="I22" s="36" t="n">
        <v>31</v>
      </c>
      <c r="J22" s="36" t="n">
        <v>92</v>
      </c>
      <c r="K22" s="36" t="n">
        <v>320</v>
      </c>
      <c r="L22" s="36" t="n">
        <v>138</v>
      </c>
      <c r="M22" s="36" t="n">
        <v>751</v>
      </c>
      <c r="N22" s="36" t="n">
        <v>205</v>
      </c>
      <c r="O22" s="36" t="n">
        <v>397</v>
      </c>
      <c r="P22" s="36" t="n">
        <v>158</v>
      </c>
      <c r="Q22" s="36" t="n">
        <v>-125</v>
      </c>
      <c r="R22" s="36" t="n">
        <v>-23</v>
      </c>
      <c r="S22" s="36" t="n">
        <v>-53</v>
      </c>
      <c r="T22" s="36" t="n">
        <v>-72</v>
      </c>
      <c r="U22" s="36" t="n">
        <v>-72</v>
      </c>
      <c r="V22" s="36" t="n">
        <v>-92</v>
      </c>
      <c r="W22" s="36" t="n">
        <v>3</v>
      </c>
      <c r="X22" s="36" t="n">
        <v>209</v>
      </c>
      <c r="Y22" s="36" t="n">
        <v>-5</v>
      </c>
      <c r="Z22" s="37" t="n">
        <v>234</v>
      </c>
      <c r="AA22" s="37" t="n">
        <v>42</v>
      </c>
      <c r="AB22" s="37" t="n">
        <v>-228</v>
      </c>
      <c r="AC22" s="37" t="n">
        <v>-422</v>
      </c>
      <c r="AD22" s="37" t="n">
        <v>-119</v>
      </c>
      <c r="AE22" s="37" t="n">
        <v>-39</v>
      </c>
      <c r="AF22" s="37" t="n">
        <v>-203</v>
      </c>
      <c r="AG22" s="37" t="n">
        <v>-156</v>
      </c>
      <c r="AH22" s="37" t="n">
        <v>-186</v>
      </c>
      <c r="AI22" s="37" t="n">
        <v>-140</v>
      </c>
      <c r="AJ22" s="37" t="n">
        <v>-263</v>
      </c>
      <c r="AK22" s="37" t="n">
        <v>-274</v>
      </c>
      <c r="AL22" s="37" t="n">
        <v>-176</v>
      </c>
      <c r="AM22" s="37" t="n">
        <v>-99</v>
      </c>
      <c r="AN22" s="37" t="n">
        <v>-67</v>
      </c>
      <c r="AO22" s="37" t="n">
        <v>-33</v>
      </c>
      <c r="AP22" s="37" t="n">
        <v>-177</v>
      </c>
      <c r="AQ22" s="37" t="n">
        <v>-142</v>
      </c>
      <c r="AR22" s="37" t="n">
        <v>-50</v>
      </c>
      <c r="AS22" s="37" t="n">
        <v>-48</v>
      </c>
      <c r="AT22" s="37" t="n">
        <v>-112</v>
      </c>
      <c r="AU22" t="n">
        <v>39</v>
      </c>
      <c r="AV22" t="n">
        <v>-146</v>
      </c>
      <c r="AW22" t="n">
        <v>241</v>
      </c>
      <c r="AX22" t="n">
        <v>248</v>
      </c>
      <c r="AY22" t="n">
        <v>206</v>
      </c>
      <c r="AZ22" t="n">
        <v>1</v>
      </c>
      <c r="BA22" t="n">
        <v>-294</v>
      </c>
      <c r="BB22" t="n">
        <v>10</v>
      </c>
      <c r="BC22" t="n">
        <v>636</v>
      </c>
      <c r="BE22" s="38">
        <f>SUM(Table22[[#This Row],[Net Investment
April 16-30, 2026]:[Net Investment
May 01-15, 2026]])</f>
        <v/>
      </c>
      <c r="BF22" s="38">
        <f>SUM(Table22[[#This Row],[Net Investment
April 01-15, 2026]:[Net Investment
May 01-15, 2026]])</f>
        <v/>
      </c>
      <c r="BG22" s="38">
        <f>SUM(Table22[[#This Row],[Net Investment
March 16-31, 2026]:[Net Investment
May 01-15, 2026]])</f>
        <v/>
      </c>
      <c r="BH22" s="38">
        <f>SUM(Table22[[#This Row],[Net Investment
March 01-15, 2026]:[Net Investment
May 01-15, 2026]])</f>
        <v/>
      </c>
      <c r="BI22" s="38">
        <f>SUM(Table22[[#This Row],[Net Investment
Feb 16-28, 2026]:[Net Investment
May 01-15, 2026]])</f>
        <v/>
      </c>
    </row>
    <row r="23" ht="39.95" customHeight="1" s="30">
      <c r="A23" s="10" t="inlineStr">
        <is>
          <t>Utilities</t>
        </is>
      </c>
      <c r="B23" s="36" t="n">
        <v>-38</v>
      </c>
      <c r="C23" s="36" t="n">
        <v>28</v>
      </c>
      <c r="D23" s="36" t="n">
        <v>105</v>
      </c>
      <c r="E23" s="36" t="n">
        <v>-1</v>
      </c>
      <c r="F23" s="36" t="n">
        <v>46</v>
      </c>
      <c r="G23" s="36" t="n">
        <v>239</v>
      </c>
      <c r="H23" s="36" t="n">
        <v>127</v>
      </c>
      <c r="I23" s="36" t="n">
        <v>165</v>
      </c>
      <c r="J23" s="36" t="n">
        <v>50</v>
      </c>
      <c r="K23" s="36" t="n">
        <v>89</v>
      </c>
      <c r="L23" s="36" t="n">
        <v>15</v>
      </c>
      <c r="M23" s="36" t="n">
        <v>54</v>
      </c>
      <c r="N23" s="36" t="n">
        <v>1</v>
      </c>
      <c r="O23" s="36" t="n">
        <v>-47</v>
      </c>
      <c r="P23" s="36" t="n">
        <v>-57</v>
      </c>
      <c r="Q23" s="36" t="n">
        <v>-19</v>
      </c>
      <c r="R23" s="36" t="n">
        <v>-7</v>
      </c>
      <c r="S23" s="36" t="n">
        <v>26</v>
      </c>
      <c r="T23" s="36" t="n">
        <v>-26</v>
      </c>
      <c r="U23" s="36" t="n">
        <v>35</v>
      </c>
      <c r="V23" s="36" t="n">
        <v>7</v>
      </c>
      <c r="W23" s="36" t="n">
        <v>16</v>
      </c>
      <c r="X23" s="36" t="n">
        <v>4</v>
      </c>
      <c r="Y23" s="36" t="n">
        <v>-36</v>
      </c>
      <c r="Z23" s="37" t="n">
        <v>-9</v>
      </c>
      <c r="AA23" s="37" t="n">
        <v>-9</v>
      </c>
      <c r="AB23" s="37" t="n">
        <v>-24</v>
      </c>
      <c r="AC23" s="37" t="n">
        <v>15</v>
      </c>
      <c r="AD23" s="37" t="n">
        <v>-46</v>
      </c>
      <c r="AE23" s="37" t="n">
        <v>11</v>
      </c>
      <c r="AF23" s="37" t="n">
        <v>1</v>
      </c>
      <c r="AG23" s="37" t="n">
        <v>14</v>
      </c>
      <c r="AH23" s="37" t="n">
        <v>8</v>
      </c>
      <c r="AI23" s="37" t="n">
        <v>27</v>
      </c>
      <c r="AJ23" s="37" t="n">
        <v>-13</v>
      </c>
      <c r="AK23" s="37" t="n">
        <v>-17</v>
      </c>
      <c r="AL23" s="37" t="n">
        <v>-126</v>
      </c>
      <c r="AM23" s="37" t="n">
        <v>24</v>
      </c>
      <c r="AN23" s="37" t="n">
        <v>-14</v>
      </c>
      <c r="AO23" s="37" t="n">
        <v>8</v>
      </c>
      <c r="AP23" s="37" t="n">
        <v>-14</v>
      </c>
      <c r="AQ23" s="37" t="n">
        <v>3</v>
      </c>
      <c r="AR23" s="37" t="n">
        <v>4</v>
      </c>
      <c r="AS23" s="37" t="n">
        <v>-12</v>
      </c>
      <c r="AT23" s="37" t="n">
        <v>-28</v>
      </c>
      <c r="AU23" t="n">
        <v>-19</v>
      </c>
      <c r="AV23" t="n">
        <v>7</v>
      </c>
      <c r="AW23" t="n">
        <v>216</v>
      </c>
      <c r="AX23" t="n">
        <v>119</v>
      </c>
      <c r="AY23" t="n">
        <v>-163</v>
      </c>
      <c r="AZ23" t="n">
        <v>7</v>
      </c>
      <c r="BA23" t="n">
        <v>-38</v>
      </c>
      <c r="BB23" t="n">
        <v>194</v>
      </c>
      <c r="BC23" t="n">
        <v>-33</v>
      </c>
      <c r="BE23" s="38">
        <f>SUM(Table22[[#This Row],[Net Investment
April 16-30, 2026]:[Net Investment
May 01-15, 2026]])</f>
        <v/>
      </c>
      <c r="BF23" s="38">
        <f>SUM(Table22[[#This Row],[Net Investment
April 01-15, 2026]:[Net Investment
May 01-15, 2026]])</f>
        <v/>
      </c>
      <c r="BG23" s="38">
        <f>SUM(Table22[[#This Row],[Net Investment
March 16-31, 2026]:[Net Investment
May 01-15, 2026]])</f>
        <v/>
      </c>
      <c r="BH23" s="38">
        <f>SUM(Table22[[#This Row],[Net Investment
March 01-15, 2026]:[Net Investment
May 01-15, 2026]])</f>
        <v/>
      </c>
      <c r="BI23" s="38">
        <f>SUM(Table22[[#This Row],[Net Investment
Feb 16-28, 2026]:[Net Investment
May 01-15, 2026]])</f>
        <v/>
      </c>
    </row>
    <row r="24" hidden="1" ht="39.95" customHeight="1" s="30">
      <c r="A24" s="10" t="inlineStr">
        <is>
          <t>Sovereign</t>
        </is>
      </c>
      <c r="B24" s="36" t="n">
        <v>0</v>
      </c>
      <c r="C24" s="36" t="n">
        <v>0</v>
      </c>
      <c r="D24" s="36" t="n">
        <v>0</v>
      </c>
      <c r="E24" s="36" t="n">
        <v>0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6" t="n">
        <v>0</v>
      </c>
      <c r="O24" s="36" t="n">
        <v>0</v>
      </c>
      <c r="P24" s="36" t="n">
        <v>0</v>
      </c>
      <c r="Q24" s="36" t="n">
        <v>0</v>
      </c>
      <c r="R24" s="36" t="n">
        <v>0</v>
      </c>
      <c r="S24" s="36" t="n">
        <v>0</v>
      </c>
      <c r="T24" s="36" t="n">
        <v>0</v>
      </c>
      <c r="U24" s="36" t="n">
        <v>0</v>
      </c>
      <c r="V24" s="36" t="n">
        <v>0</v>
      </c>
      <c r="W24" s="36" t="n">
        <v>0</v>
      </c>
      <c r="X24" s="36" t="n">
        <v>0</v>
      </c>
      <c r="Y24" s="36" t="n">
        <v>0</v>
      </c>
      <c r="Z24" s="37" t="n">
        <v>0</v>
      </c>
      <c r="AA24" s="37" t="n">
        <v>0</v>
      </c>
      <c r="AB24" s="37" t="n">
        <v>0</v>
      </c>
      <c r="AC24" s="37" t="n">
        <v>0</v>
      </c>
      <c r="AD24" s="37" t="n">
        <v>0</v>
      </c>
      <c r="AE24" s="37" t="n">
        <v>0</v>
      </c>
      <c r="AF24" s="37" t="n">
        <v>0</v>
      </c>
      <c r="AG24" s="37" t="n">
        <v>0</v>
      </c>
      <c r="AH24" s="37" t="n">
        <v>0</v>
      </c>
      <c r="AI24" s="37" t="n">
        <v>0</v>
      </c>
      <c r="AJ24" s="37" t="n">
        <v>0</v>
      </c>
      <c r="AK24" s="37" t="n">
        <v>0</v>
      </c>
      <c r="AL24" s="37" t="n">
        <v>0</v>
      </c>
      <c r="AM24" s="37" t="n">
        <v>0</v>
      </c>
      <c r="AN24" s="37" t="n">
        <v>0</v>
      </c>
      <c r="AO24" s="37" t="n">
        <v>0</v>
      </c>
      <c r="AP24" s="37" t="n">
        <v>0</v>
      </c>
      <c r="AQ24" s="37" t="n">
        <v>0</v>
      </c>
      <c r="AR24" s="37" t="n">
        <v>0</v>
      </c>
      <c r="AS24" s="37" t="n">
        <v>0</v>
      </c>
      <c r="AT24" s="37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E24" s="38">
        <f>SUM(Table22[[#This Row],[Net Investment
April 16-30, 2026]:[Net Investment
May 01-15, 2026]])</f>
        <v/>
      </c>
      <c r="BF24" s="38">
        <f>SUM(Table22[[#This Row],[Net Investment
April 01-15, 2026]:[Net Investment
May 01-15, 2026]])</f>
        <v/>
      </c>
      <c r="BG24" s="38">
        <f>SUM(Table22[[#This Row],[Net Investment
March 16-31, 2026]:[Net Investment
May 01-15, 2026]])</f>
        <v/>
      </c>
      <c r="BH24" s="38">
        <f>SUM(Table22[[#This Row],[Net Investment
March 01-15, 2026]:[Net Investment
May 01-15, 2026]])</f>
        <v/>
      </c>
      <c r="BI24" s="38">
        <f>SUM(Table22[[#This Row],[Net Investment
Feb 16-28, 2026]:[Net Investment
May 01-15, 2026]])</f>
        <v/>
      </c>
    </row>
    <row r="25" ht="39.95" customHeight="1" s="30">
      <c r="A25" s="10" t="inlineStr">
        <is>
          <t>Others</t>
        </is>
      </c>
      <c r="B25" s="36" t="n">
        <v>357</v>
      </c>
      <c r="C25" s="36" t="n">
        <v>808</v>
      </c>
      <c r="D25" s="36" t="n">
        <v>324</v>
      </c>
      <c r="E25" s="36" t="n">
        <v>1792</v>
      </c>
      <c r="F25" s="36" t="n">
        <v>2452</v>
      </c>
      <c r="G25" s="36" t="n">
        <v>2032</v>
      </c>
      <c r="H25" s="36" t="n">
        <v>4271</v>
      </c>
      <c r="I25" s="36" t="n">
        <v>2456</v>
      </c>
      <c r="J25" s="36" t="n">
        <v>1473</v>
      </c>
      <c r="K25" s="36" t="n">
        <v>-44</v>
      </c>
      <c r="L25" s="36" t="n">
        <v>2974</v>
      </c>
      <c r="M25" s="36" t="n">
        <v>495</v>
      </c>
      <c r="N25" s="36" t="n">
        <v>-138</v>
      </c>
      <c r="O25" s="36" t="n">
        <v>1348</v>
      </c>
      <c r="P25" s="36" t="n">
        <v>-116</v>
      </c>
      <c r="Q25" s="36" t="n">
        <v>1362</v>
      </c>
      <c r="R25" s="36" t="n">
        <v>771</v>
      </c>
      <c r="S25" s="36" t="n">
        <v>1466</v>
      </c>
      <c r="T25" s="36" t="n">
        <v>297</v>
      </c>
      <c r="U25" s="36" t="n">
        <v>1431</v>
      </c>
      <c r="V25" s="36" t="n">
        <v>796</v>
      </c>
      <c r="W25" s="36" t="n">
        <v>-540</v>
      </c>
      <c r="X25" s="36" t="n">
        <v>-348</v>
      </c>
      <c r="Y25" s="36" t="n">
        <v>1453</v>
      </c>
      <c r="Z25" s="37" t="n">
        <v>-17</v>
      </c>
      <c r="AA25" s="37" t="n">
        <v>8153</v>
      </c>
      <c r="AB25" s="37" t="n">
        <v>-26</v>
      </c>
      <c r="AC25" s="37" t="n">
        <v>60</v>
      </c>
      <c r="AD25" s="37" t="n">
        <v>133</v>
      </c>
      <c r="AE25" s="37" t="n">
        <v>294</v>
      </c>
      <c r="AF25" s="37" t="n">
        <v>1060</v>
      </c>
      <c r="AG25" s="37" t="n">
        <v>338</v>
      </c>
      <c r="AH25" s="37" t="n">
        <v>1446</v>
      </c>
      <c r="AI25" s="37" t="n">
        <v>199</v>
      </c>
      <c r="AJ25" s="37" t="n">
        <v>918</v>
      </c>
      <c r="AK25" s="37" t="n">
        <v>338</v>
      </c>
      <c r="AL25" s="37" t="n">
        <v>-1469</v>
      </c>
      <c r="AM25" s="37" t="n">
        <v>486</v>
      </c>
      <c r="AN25" s="37" t="n">
        <v>1473</v>
      </c>
      <c r="AO25" s="37" t="n">
        <v>231</v>
      </c>
      <c r="AP25" s="37" t="n">
        <v>548</v>
      </c>
      <c r="AQ25" s="37" t="n">
        <v>1967</v>
      </c>
      <c r="AR25" s="37" t="n">
        <v>730</v>
      </c>
      <c r="AS25" s="37" t="n">
        <v>837</v>
      </c>
      <c r="AT25" s="37" t="n">
        <v>-808</v>
      </c>
      <c r="AU25" t="n">
        <v>-254</v>
      </c>
      <c r="AV25" t="n">
        <v>629</v>
      </c>
      <c r="AW25" t="n">
        <v>863</v>
      </c>
      <c r="AX25" t="n">
        <v>1412</v>
      </c>
      <c r="AY25" t="n">
        <v>138</v>
      </c>
      <c r="AZ25" t="n">
        <v>543</v>
      </c>
      <c r="BA25" t="n">
        <v>-992</v>
      </c>
      <c r="BB25" t="n">
        <v>388</v>
      </c>
      <c r="BC25" t="n">
        <v>-1091</v>
      </c>
      <c r="BE25" s="38">
        <f>SUM(Table22[[#This Row],[Net Investment
April 16-30, 2026]:[Net Investment
May 01-15, 2026]])</f>
        <v/>
      </c>
      <c r="BF25" s="38">
        <f>SUM(Table22[[#This Row],[Net Investment
April 01-15, 2026]:[Net Investment
May 01-15, 2026]])</f>
        <v/>
      </c>
      <c r="BG25" s="38">
        <f>SUM(Table22[[#This Row],[Net Investment
March 16-31, 2026]:[Net Investment
May 01-15, 2026]])</f>
        <v/>
      </c>
      <c r="BH25" s="38">
        <f>SUM(Table22[[#This Row],[Net Investment
March 01-15, 2026]:[Net Investment
May 01-15, 2026]])</f>
        <v/>
      </c>
      <c r="BI25" s="38">
        <f>SUM(Table22[[#This Row],[Net Investment
Feb 16-28, 2026]:[Net Investment
May 01-15, 2026]])</f>
        <v/>
      </c>
    </row>
    <row r="26" ht="39.95" customHeight="1" s="30">
      <c r="A26" s="10" t="inlineStr">
        <is>
          <t>Grand Total</t>
        </is>
      </c>
      <c r="B26" s="36" t="n">
        <v>20720</v>
      </c>
      <c r="C26" s="36" t="n">
        <v>11645</v>
      </c>
      <c r="D26" s="36" t="n">
        <v>-18824</v>
      </c>
      <c r="E26" s="36" t="n">
        <v>26144</v>
      </c>
      <c r="F26" s="36" t="n">
        <v>27862</v>
      </c>
      <c r="G26" s="36" t="n">
        <v>29861</v>
      </c>
      <c r="H26" s="36" t="n">
        <v>-66301</v>
      </c>
      <c r="I26" s="36" t="n">
        <v>-27716</v>
      </c>
      <c r="J26" s="36" t="n">
        <v>-22420</v>
      </c>
      <c r="K26" s="36" t="n">
        <v>808</v>
      </c>
      <c r="L26" s="36" t="n">
        <v>22766</v>
      </c>
      <c r="M26" s="36" t="n">
        <v>-7319</v>
      </c>
      <c r="N26" s="36" t="n">
        <v>-35658</v>
      </c>
      <c r="O26" s="36" t="n">
        <v>-42369</v>
      </c>
      <c r="P26" s="36" t="n">
        <v>-21272</v>
      </c>
      <c r="Q26" s="36" t="n">
        <v>-13302</v>
      </c>
      <c r="R26" s="36" t="n">
        <v>-30015</v>
      </c>
      <c r="S26" s="36" t="n">
        <v>26042</v>
      </c>
      <c r="T26" s="36" t="n">
        <v>-33927</v>
      </c>
      <c r="U26" s="36" t="n">
        <v>38150</v>
      </c>
      <c r="V26" s="36" t="n">
        <v>12873</v>
      </c>
      <c r="W26" s="36" t="n">
        <v>6987</v>
      </c>
      <c r="X26" s="36" t="n">
        <v>-5402</v>
      </c>
      <c r="Y26" s="36" t="n">
        <v>19992</v>
      </c>
      <c r="Z26" s="37" t="n">
        <v>-1446</v>
      </c>
      <c r="AA26" s="37" t="n">
        <v>-16295</v>
      </c>
      <c r="AB26" s="37" t="n">
        <v>-20975</v>
      </c>
      <c r="AC26" s="37" t="n">
        <v>-14019</v>
      </c>
      <c r="AD26" s="37" t="n">
        <v>-9759</v>
      </c>
      <c r="AE26" s="37" t="n">
        <v>-14126</v>
      </c>
      <c r="AF26" s="37" t="n">
        <v>3631</v>
      </c>
      <c r="AG26" s="37" t="n">
        <v>10979</v>
      </c>
      <c r="AH26" s="37" t="n">
        <v>-6092</v>
      </c>
      <c r="AI26" s="37" t="n">
        <v>2327</v>
      </c>
      <c r="AJ26" s="37" t="n">
        <v>-17821</v>
      </c>
      <c r="AK26" s="37" t="n">
        <v>-4790</v>
      </c>
      <c r="AL26" s="37" t="n">
        <v>-19015</v>
      </c>
      <c r="AM26" s="37" t="n">
        <v>-16947</v>
      </c>
      <c r="AN26" s="37" t="n">
        <v>19675</v>
      </c>
      <c r="AO26" s="37" t="n">
        <v>2940</v>
      </c>
      <c r="AP26" s="37" t="n">
        <v>-52704</v>
      </c>
      <c r="AQ26" s="37" t="n">
        <v>-65071</v>
      </c>
      <c r="AR26" s="37" t="n">
        <v>-48139</v>
      </c>
      <c r="AS26" s="37" t="n">
        <v>-12708</v>
      </c>
      <c r="AT26" s="37" t="n">
        <v>-27048</v>
      </c>
      <c r="AU26" t="n">
        <v>-5915</v>
      </c>
      <c r="BE26" s="38">
        <f>SUM(Table22[[#This Row],[Net Investment
April 16-30, 2026]:[Net Investment
May 01-15, 2026]])</f>
        <v/>
      </c>
      <c r="BF26" s="38">
        <f>SUM(Table22[[#This Row],[Net Investment
April 01-15, 2026]:[Net Investment
May 01-15, 2026]])</f>
        <v/>
      </c>
      <c r="BG26" s="38">
        <f>SUM(Table22[[#This Row],[Net Investment
March 16-31, 2026]:[Net Investment
May 01-15, 2026]])</f>
        <v/>
      </c>
      <c r="BH26" s="38">
        <f>SUM(Table22[[#This Row],[Net Investment
March 01-15, 2026]:[Net Investment
May 01-15, 2026]])</f>
        <v/>
      </c>
      <c r="BI26" s="38">
        <f>SUM(Table22[[#This Row],[Net Investment
Feb 16-28, 2026]:[Net Investment
May 01-15, 2026]])</f>
        <v/>
      </c>
    </row>
  </sheetData>
  <conditionalFormatting sqref="B2:AN25 Z26:AK26">
    <cfRule type="cellIs" priority="15" operator="between" dxfId="55">
      <formula>-500</formula>
      <formula>-1000</formula>
    </cfRule>
    <cfRule type="cellIs" priority="16" operator="between" dxfId="54">
      <formula>-1</formula>
      <formula>-500</formula>
    </cfRule>
    <cfRule type="cellIs" priority="17" operator="lessThan" dxfId="53">
      <formula>-2000</formula>
    </cfRule>
    <cfRule type="cellIs" priority="18" operator="between" dxfId="52">
      <formula>251</formula>
      <formula>999</formula>
    </cfRule>
    <cfRule type="cellIs" priority="19" operator="between" dxfId="51">
      <formula>1000</formula>
      <formula>2000</formula>
    </cfRule>
    <cfRule type="cellIs" priority="20" operator="greaterThan" dxfId="50">
      <formula>2000</formula>
    </cfRule>
  </conditionalFormatting>
  <conditionalFormatting sqref="AO2:AQ26">
    <cfRule type="cellIs" priority="7" operator="between" dxfId="55">
      <formula>-500</formula>
      <formula>-1000</formula>
    </cfRule>
    <cfRule type="cellIs" priority="8" operator="between" dxfId="54">
      <formula>-1</formula>
      <formula>-500</formula>
    </cfRule>
    <cfRule type="cellIs" priority="9" operator="lessThan" dxfId="53">
      <formula>-2000</formula>
    </cfRule>
    <cfRule type="cellIs" priority="10" operator="between" dxfId="52">
      <formula>251</formula>
      <formula>999</formula>
    </cfRule>
    <cfRule type="cellIs" priority="11" operator="between" dxfId="51">
      <formula>1000</formula>
      <formula>2000</formula>
    </cfRule>
    <cfRule type="cellIs" priority="12" operator="greaterThan" dxfId="50">
      <formula>2000</formula>
    </cfRule>
  </conditionalFormatting>
  <conditionalFormatting sqref="AR2:AT26">
    <cfRule type="cellIs" priority="1" operator="between" dxfId="55">
      <formula>-500</formula>
      <formula>-1000</formula>
    </cfRule>
    <cfRule type="cellIs" priority="2" operator="between" dxfId="54">
      <formula>-1</formula>
      <formula>-500</formula>
    </cfRule>
    <cfRule type="cellIs" priority="3" operator="lessThan" dxfId="53">
      <formula>-2000</formula>
    </cfRule>
    <cfRule type="cellIs" priority="4" operator="between" dxfId="52">
      <formula>251</formula>
      <formula>999</formula>
    </cfRule>
    <cfRule type="cellIs" priority="5" operator="between" dxfId="51">
      <formula>1000</formula>
      <formula>2000</formula>
    </cfRule>
    <cfRule type="cellIs" priority="6" operator="greaterThan" dxfId="50">
      <formula>2000</formula>
    </cfRule>
  </conditionalFormatting>
  <conditionalFormatting sqref="AV2:AZ26">
    <cfRule type="cellIs" priority="13" operator="lessThan" dxfId="49">
      <formula>0</formula>
    </cfRule>
    <cfRule type="cellIs" priority="14" operator="greaterThan" dxfId="48">
      <formula>0</formula>
    </cfRule>
  </conditionalFormatting>
  <pageMargins left="0.7" right="0.7" top="0.75" bottom="0.75" header="0.3" footer="0.3"/>
  <pageSetup orientation="portrait" scale="40"/>
  <colBreaks count="2" manualBreakCount="2">
    <brk id="46" min="0" max="25" man="1"/>
    <brk id="53" min="0" max="1048575" man="1"/>
  </col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9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H16" sqref="H16"/>
    </sheetView>
  </sheetViews>
  <sheetFormatPr baseColWidth="8" defaultRowHeight="15"/>
  <cols>
    <col width="10.42578125" bestFit="1" customWidth="1" style="30" min="1" max="1"/>
    <col width="14.85546875" bestFit="1" customWidth="1" style="30" min="2" max="2"/>
    <col width="32.7109375" bestFit="1" customWidth="1" style="30" min="3" max="3"/>
    <col width="8.28515625" bestFit="1" customWidth="1" style="30" min="4" max="5"/>
    <col width="8.85546875" bestFit="1" customWidth="1" style="30" min="7" max="7"/>
    <col width="8.28515625" bestFit="1" customWidth="1" style="30" min="8" max="9"/>
    <col width="8.7109375" bestFit="1" customWidth="1" style="30" min="10" max="10"/>
    <col width="8.28515625" bestFit="1" customWidth="1" style="30" min="11" max="11"/>
    <col width="8.5703125" bestFit="1" customWidth="1" style="30" min="12" max="12"/>
    <col width="8.28515625" bestFit="1" customWidth="1" style="30" min="13" max="13"/>
    <col width="8.140625" bestFit="1" customWidth="1" style="30" min="14" max="14"/>
    <col width="8.28515625" bestFit="1" customWidth="1" style="30" min="15" max="15"/>
  </cols>
  <sheetData>
    <row r="1" ht="45" customHeight="1" s="30">
      <c r="A1" s="26" t="inlineStr">
        <is>
          <t>Fortnight End</t>
        </is>
      </c>
      <c r="B1" s="26" t="inlineStr">
        <is>
          <t>Period Label</t>
        </is>
      </c>
      <c r="C1" s="26" t="inlineStr">
        <is>
          <t>Sector</t>
        </is>
      </c>
      <c r="D1" s="26" t="inlineStr">
        <is>
          <t>Equity (INR Cr)</t>
        </is>
      </c>
      <c r="E1" s="26" t="inlineStr">
        <is>
          <t>Debt-General (INR Cr)</t>
        </is>
      </c>
      <c r="F1" s="26" t="inlineStr">
        <is>
          <t>Debt-VRR (INR Cr)</t>
        </is>
      </c>
      <c r="G1" s="26" t="inlineStr">
        <is>
          <t>Debt-FAR (INR Cr)</t>
        </is>
      </c>
      <c r="H1" s="26" t="inlineStr">
        <is>
          <t>Hybrid (INR Cr)</t>
        </is>
      </c>
      <c r="I1" s="26" t="inlineStr">
        <is>
          <t>MF-Equity (INR Cr)</t>
        </is>
      </c>
      <c r="J1" s="26" t="inlineStr">
        <is>
          <t>MF-Debt (INR Cr)</t>
        </is>
      </c>
      <c r="K1" s="26" t="inlineStr">
        <is>
          <t>MF-Hybrid (INR Cr)</t>
        </is>
      </c>
      <c r="L1" s="26" t="inlineStr">
        <is>
          <t>MF-Solution (INR Cr)</t>
        </is>
      </c>
      <c r="M1" s="26" t="inlineStr">
        <is>
          <t>MF-Other (INR Cr)</t>
        </is>
      </c>
      <c r="N1" s="26" t="inlineStr">
        <is>
          <t>AIF (INR Cr)</t>
        </is>
      </c>
      <c r="O1" s="26" t="inlineStr">
        <is>
          <t>Total (INR Cr)</t>
        </is>
      </c>
    </row>
    <row r="2">
      <c r="A2" s="39" t="n">
        <v>45535</v>
      </c>
      <c r="B2" t="inlineStr">
        <is>
          <t>Aug 16-31, 2024</t>
        </is>
      </c>
      <c r="C2" t="inlineStr">
        <is>
          <t>Automobile and Auto Components</t>
        </is>
      </c>
      <c r="D2" t="n">
        <v>-751</v>
      </c>
      <c r="E2" t="n">
        <v>0</v>
      </c>
      <c r="F2" t="n">
        <v>-10</v>
      </c>
      <c r="H2" t="n">
        <v>0</v>
      </c>
      <c r="O2" t="n">
        <v>-761</v>
      </c>
    </row>
    <row r="3">
      <c r="A3" s="39" t="n">
        <v>45535</v>
      </c>
      <c r="B3" t="inlineStr">
        <is>
          <t>Aug 16-31, 2024</t>
        </is>
      </c>
      <c r="C3" t="inlineStr">
        <is>
          <t>Capital Goods</t>
        </is>
      </c>
      <c r="D3" t="n">
        <v>780</v>
      </c>
      <c r="E3" t="n">
        <v>0</v>
      </c>
      <c r="F3" t="n">
        <v>0</v>
      </c>
      <c r="H3" t="n">
        <v>0</v>
      </c>
      <c r="O3" t="n">
        <v>780</v>
      </c>
    </row>
    <row r="4">
      <c r="A4" s="39" t="n">
        <v>45535</v>
      </c>
      <c r="B4" t="inlineStr">
        <is>
          <t>Aug 16-31, 2024</t>
        </is>
      </c>
      <c r="C4" t="inlineStr">
        <is>
          <t>Chemicals</t>
        </is>
      </c>
      <c r="D4" t="n">
        <v>182</v>
      </c>
      <c r="E4" t="n">
        <v>0</v>
      </c>
      <c r="F4" t="n">
        <v>0</v>
      </c>
      <c r="H4" t="n">
        <v>0</v>
      </c>
      <c r="O4" t="n">
        <v>182</v>
      </c>
    </row>
    <row r="5">
      <c r="A5" s="39" t="n">
        <v>45535</v>
      </c>
      <c r="B5" t="inlineStr">
        <is>
          <t>Aug 16-31, 2024</t>
        </is>
      </c>
      <c r="C5" t="inlineStr">
        <is>
          <t>Construction</t>
        </is>
      </c>
      <c r="D5" t="n">
        <v>-59</v>
      </c>
      <c r="E5" t="n">
        <v>0</v>
      </c>
      <c r="F5" t="n">
        <v>0</v>
      </c>
      <c r="H5" t="n">
        <v>-8</v>
      </c>
      <c r="O5" t="n">
        <v>-67</v>
      </c>
    </row>
    <row r="6">
      <c r="A6" s="39" t="n">
        <v>45535</v>
      </c>
      <c r="B6" t="inlineStr">
        <is>
          <t>Aug 16-31, 2024</t>
        </is>
      </c>
      <c r="C6" t="inlineStr">
        <is>
          <t>Construction Materials</t>
        </is>
      </c>
      <c r="D6" t="n">
        <v>894</v>
      </c>
      <c r="E6" t="n">
        <v>0</v>
      </c>
      <c r="F6" t="n">
        <v>0</v>
      </c>
      <c r="H6" t="n">
        <v>0</v>
      </c>
      <c r="O6" t="n">
        <v>894</v>
      </c>
    </row>
    <row r="7">
      <c r="A7" s="39" t="n">
        <v>45535</v>
      </c>
      <c r="B7" t="inlineStr">
        <is>
          <t>Aug 16-31, 2024</t>
        </is>
      </c>
      <c r="C7" t="inlineStr">
        <is>
          <t>Consumer Durables</t>
        </is>
      </c>
      <c r="D7" t="n">
        <v>5297</v>
      </c>
      <c r="E7" t="n">
        <v>0</v>
      </c>
      <c r="F7" t="n">
        <v>0</v>
      </c>
      <c r="H7" t="n">
        <v>0</v>
      </c>
      <c r="O7" t="n">
        <v>5297</v>
      </c>
    </row>
    <row r="8">
      <c r="A8" s="39" t="n">
        <v>45535</v>
      </c>
      <c r="B8" t="inlineStr">
        <is>
          <t>Aug 16-31, 2024</t>
        </is>
      </c>
      <c r="C8" t="inlineStr">
        <is>
          <t>Consumer Services</t>
        </is>
      </c>
      <c r="D8" t="n">
        <v>1962</v>
      </c>
      <c r="E8" t="n">
        <v>0</v>
      </c>
      <c r="F8" t="n">
        <v>0</v>
      </c>
      <c r="H8" t="n">
        <v>0</v>
      </c>
      <c r="O8" t="n">
        <v>1962</v>
      </c>
    </row>
    <row r="9">
      <c r="A9" s="39" t="n">
        <v>45535</v>
      </c>
      <c r="B9" t="inlineStr">
        <is>
          <t>Aug 16-31, 2024</t>
        </is>
      </c>
      <c r="C9" t="inlineStr">
        <is>
          <t>Diversified</t>
        </is>
      </c>
      <c r="D9" t="n">
        <v>15</v>
      </c>
      <c r="E9" t="n">
        <v>0</v>
      </c>
      <c r="F9" t="n">
        <v>0</v>
      </c>
      <c r="H9" t="n">
        <v>0</v>
      </c>
      <c r="O9" t="n">
        <v>15</v>
      </c>
    </row>
    <row r="10">
      <c r="A10" s="39" t="n">
        <v>45535</v>
      </c>
      <c r="B10" t="inlineStr">
        <is>
          <t>Aug 16-31, 2024</t>
        </is>
      </c>
      <c r="C10" t="inlineStr">
        <is>
          <t>Fast Moving Consumer Goods</t>
        </is>
      </c>
      <c r="D10" t="n">
        <v>1815</v>
      </c>
      <c r="E10" t="n">
        <v>0</v>
      </c>
      <c r="F10" t="n">
        <v>0</v>
      </c>
      <c r="H10" t="n">
        <v>0</v>
      </c>
      <c r="O10" t="n">
        <v>1815</v>
      </c>
    </row>
    <row r="11">
      <c r="A11" s="39" t="n">
        <v>45535</v>
      </c>
      <c r="B11" t="inlineStr">
        <is>
          <t>Aug 16-31, 2024</t>
        </is>
      </c>
      <c r="C11" t="inlineStr">
        <is>
          <t>Financial Services</t>
        </is>
      </c>
      <c r="D11" t="n">
        <v>2782</v>
      </c>
      <c r="E11" t="n">
        <v>602</v>
      </c>
      <c r="F11" t="n">
        <v>381</v>
      </c>
      <c r="H11" t="n">
        <v>0</v>
      </c>
      <c r="O11" t="n">
        <v>3765</v>
      </c>
    </row>
    <row r="12">
      <c r="A12" s="39" t="n">
        <v>45535</v>
      </c>
      <c r="B12" t="inlineStr">
        <is>
          <t>Aug 16-31, 2024</t>
        </is>
      </c>
      <c r="C12" t="inlineStr">
        <is>
          <t>Forest Materials</t>
        </is>
      </c>
      <c r="D12" t="n">
        <v>-26</v>
      </c>
      <c r="E12" t="n">
        <v>0</v>
      </c>
      <c r="F12" t="n">
        <v>0</v>
      </c>
      <c r="H12" t="n">
        <v>0</v>
      </c>
      <c r="O12" t="n">
        <v>-26</v>
      </c>
    </row>
    <row r="13">
      <c r="A13" s="39" t="n">
        <v>45535</v>
      </c>
      <c r="B13" t="inlineStr">
        <is>
          <t>Aug 16-31, 2024</t>
        </is>
      </c>
      <c r="C13" t="inlineStr">
        <is>
          <t>Healthcare</t>
        </is>
      </c>
      <c r="D13" t="n">
        <v>2369</v>
      </c>
      <c r="E13" t="n">
        <v>0</v>
      </c>
      <c r="F13" t="n">
        <v>0</v>
      </c>
      <c r="H13" t="n">
        <v>0</v>
      </c>
      <c r="O13" t="n">
        <v>2369</v>
      </c>
    </row>
    <row r="14">
      <c r="A14" s="39" t="n">
        <v>45535</v>
      </c>
      <c r="B14" t="inlineStr">
        <is>
          <t>Aug 16-31, 2024</t>
        </is>
      </c>
      <c r="C14" t="inlineStr">
        <is>
          <t>Information Technology</t>
        </is>
      </c>
      <c r="D14" t="n">
        <v>4529</v>
      </c>
      <c r="E14" t="n">
        <v>0</v>
      </c>
      <c r="F14" t="n">
        <v>0</v>
      </c>
      <c r="H14" t="n">
        <v>0</v>
      </c>
      <c r="O14" t="n">
        <v>4529</v>
      </c>
    </row>
    <row r="15">
      <c r="A15" s="39" t="n">
        <v>45535</v>
      </c>
      <c r="B15" t="inlineStr">
        <is>
          <t>Aug 16-31, 2024</t>
        </is>
      </c>
      <c r="C15" t="inlineStr">
        <is>
          <t>Media, Entertainment &amp; Publication</t>
        </is>
      </c>
      <c r="D15" t="n">
        <v>-180</v>
      </c>
      <c r="E15" t="n">
        <v>0</v>
      </c>
      <c r="F15" t="n">
        <v>0</v>
      </c>
      <c r="H15" t="n">
        <v>0</v>
      </c>
      <c r="O15" t="n">
        <v>-180</v>
      </c>
    </row>
    <row r="16">
      <c r="A16" s="39" t="n">
        <v>45535</v>
      </c>
      <c r="B16" t="inlineStr">
        <is>
          <t>Aug 16-31, 2024</t>
        </is>
      </c>
      <c r="C16" t="inlineStr">
        <is>
          <t>Metals &amp; Mining</t>
        </is>
      </c>
      <c r="D16" t="n">
        <v>-1105</v>
      </c>
      <c r="E16" t="n">
        <v>0</v>
      </c>
      <c r="F16" t="n">
        <v>0</v>
      </c>
      <c r="H16" t="n">
        <v>0</v>
      </c>
      <c r="O16" t="n">
        <v>-1105</v>
      </c>
    </row>
    <row r="17">
      <c r="A17" s="39" t="n">
        <v>45535</v>
      </c>
      <c r="B17" t="inlineStr">
        <is>
          <t>Aug 16-31, 2024</t>
        </is>
      </c>
      <c r="C17" t="inlineStr">
        <is>
          <t>Oil, Gas &amp; Consumable Fuels</t>
        </is>
      </c>
      <c r="D17" t="n">
        <v>2518</v>
      </c>
      <c r="E17" t="n">
        <v>-50</v>
      </c>
      <c r="F17" t="n">
        <v>0</v>
      </c>
      <c r="H17" t="n">
        <v>0</v>
      </c>
      <c r="O17" t="n">
        <v>2468</v>
      </c>
    </row>
    <row r="18">
      <c r="A18" s="39" t="n">
        <v>45535</v>
      </c>
      <c r="B18" t="inlineStr">
        <is>
          <t>Aug 16-31, 2024</t>
        </is>
      </c>
      <c r="C18" t="inlineStr">
        <is>
          <t>Others</t>
        </is>
      </c>
      <c r="D18" t="n">
        <v>1792</v>
      </c>
      <c r="E18" t="n">
        <v>55</v>
      </c>
      <c r="F18" t="n">
        <v>-9</v>
      </c>
      <c r="H18" t="n">
        <v>0</v>
      </c>
      <c r="O18" t="n">
        <v>1838</v>
      </c>
    </row>
    <row r="19">
      <c r="A19" s="39" t="n">
        <v>45535</v>
      </c>
      <c r="B19" t="inlineStr">
        <is>
          <t>Aug 16-31, 2024</t>
        </is>
      </c>
      <c r="C19" t="inlineStr">
        <is>
          <t>Power</t>
        </is>
      </c>
      <c r="D19" t="n">
        <v>-2305</v>
      </c>
      <c r="E19" t="n">
        <v>-1</v>
      </c>
      <c r="F19" t="n">
        <v>0</v>
      </c>
      <c r="H19" t="n">
        <v>-1321</v>
      </c>
      <c r="O19" t="n">
        <v>-3627</v>
      </c>
    </row>
    <row r="20">
      <c r="A20" s="39" t="n">
        <v>45535</v>
      </c>
      <c r="B20" t="inlineStr">
        <is>
          <t>Aug 16-31, 2024</t>
        </is>
      </c>
      <c r="C20" t="inlineStr">
        <is>
          <t>Realty</t>
        </is>
      </c>
      <c r="D20" t="n">
        <v>-277</v>
      </c>
      <c r="E20" t="n">
        <v>0</v>
      </c>
      <c r="F20" t="n">
        <v>273</v>
      </c>
      <c r="H20" t="n">
        <v>473</v>
      </c>
      <c r="O20" t="n">
        <v>469</v>
      </c>
    </row>
    <row r="21">
      <c r="A21" s="39" t="n">
        <v>45535</v>
      </c>
      <c r="B21" t="inlineStr">
        <is>
          <t>Aug 16-31, 2024</t>
        </is>
      </c>
      <c r="C21" t="inlineStr">
        <is>
          <t>Services</t>
        </is>
      </c>
      <c r="D21" t="n">
        <v>4251</v>
      </c>
      <c r="E21" t="n">
        <v>0</v>
      </c>
      <c r="F21" t="n">
        <v>-101</v>
      </c>
      <c r="H21" t="n">
        <v>-3</v>
      </c>
      <c r="O21" t="n">
        <v>4147</v>
      </c>
    </row>
    <row r="22">
      <c r="A22" s="39" t="n">
        <v>45535</v>
      </c>
      <c r="B22" t="inlineStr">
        <is>
          <t>Aug 16-31, 2024</t>
        </is>
      </c>
      <c r="C22" t="inlineStr">
        <is>
          <t>Sovereign</t>
        </is>
      </c>
      <c r="D22" t="n">
        <v>0</v>
      </c>
      <c r="E22" t="n">
        <v>8736</v>
      </c>
      <c r="F22" t="n">
        <v>-1455</v>
      </c>
      <c r="H22" t="n">
        <v>0</v>
      </c>
      <c r="O22" t="n">
        <v>7281</v>
      </c>
    </row>
    <row r="23">
      <c r="A23" s="39" t="n">
        <v>45535</v>
      </c>
      <c r="B23" t="inlineStr">
        <is>
          <t>Aug 16-31, 2024</t>
        </is>
      </c>
      <c r="C23" t="inlineStr">
        <is>
          <t>Telecommunication</t>
        </is>
      </c>
      <c r="D23" t="n">
        <v>1399</v>
      </c>
      <c r="E23" t="n">
        <v>0</v>
      </c>
      <c r="F23" t="n">
        <v>0</v>
      </c>
      <c r="H23" t="n">
        <v>0</v>
      </c>
      <c r="O23" t="n">
        <v>1399</v>
      </c>
    </row>
    <row r="24">
      <c r="A24" s="39" t="n">
        <v>45535</v>
      </c>
      <c r="B24" t="inlineStr">
        <is>
          <t>Aug 16-31, 2024</t>
        </is>
      </c>
      <c r="C24" t="inlineStr">
        <is>
          <t>Textiles</t>
        </is>
      </c>
      <c r="D24" t="n">
        <v>260</v>
      </c>
      <c r="E24" t="n">
        <v>0</v>
      </c>
      <c r="F24" t="n">
        <v>0</v>
      </c>
      <c r="H24" t="n">
        <v>0</v>
      </c>
      <c r="O24" t="n">
        <v>260</v>
      </c>
    </row>
    <row r="25">
      <c r="A25" s="39" t="n">
        <v>45535</v>
      </c>
      <c r="B25" t="inlineStr">
        <is>
          <t>Aug 16-31, 2024</t>
        </is>
      </c>
      <c r="C25" t="inlineStr">
        <is>
          <t>Utilities</t>
        </is>
      </c>
      <c r="D25" t="n">
        <v>-1</v>
      </c>
      <c r="E25" t="n">
        <v>-6</v>
      </c>
      <c r="F25" t="n">
        <v>0</v>
      </c>
      <c r="H25" t="n">
        <v>0</v>
      </c>
      <c r="O25" t="n">
        <v>-7</v>
      </c>
    </row>
    <row r="26">
      <c r="A26" s="39" t="n">
        <v>45550</v>
      </c>
      <c r="B26" t="inlineStr">
        <is>
          <t>Sep 01-15, 2024</t>
        </is>
      </c>
      <c r="C26" t="inlineStr">
        <is>
          <t>Automobile and Auto Components</t>
        </is>
      </c>
      <c r="D26" t="n">
        <v>-1983</v>
      </c>
      <c r="E26" t="n">
        <v>-127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-2110</v>
      </c>
    </row>
    <row r="27">
      <c r="A27" s="39" t="n">
        <v>45550</v>
      </c>
      <c r="B27" t="inlineStr">
        <is>
          <t>Sep 01-15, 2024</t>
        </is>
      </c>
      <c r="C27" t="inlineStr">
        <is>
          <t>Capital Goods</t>
        </is>
      </c>
      <c r="D27" t="n">
        <v>1778</v>
      </c>
      <c r="E27" t="n">
        <v>-4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1774</v>
      </c>
    </row>
    <row r="28">
      <c r="A28" s="39" t="n">
        <v>45550</v>
      </c>
      <c r="B28" t="inlineStr">
        <is>
          <t>Sep 01-15, 2024</t>
        </is>
      </c>
      <c r="C28" t="inlineStr">
        <is>
          <t>Chemicals</t>
        </is>
      </c>
      <c r="D28" t="n">
        <v>699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699</v>
      </c>
    </row>
    <row r="29">
      <c r="A29" s="39" t="n">
        <v>45550</v>
      </c>
      <c r="B29" t="inlineStr">
        <is>
          <t>Sep 01-15, 2024</t>
        </is>
      </c>
      <c r="C29" t="inlineStr">
        <is>
          <t>Construction</t>
        </is>
      </c>
      <c r="D29" t="n">
        <v>584</v>
      </c>
      <c r="E29" t="n">
        <v>-82</v>
      </c>
      <c r="F29" t="n">
        <v>0</v>
      </c>
      <c r="G29" t="n">
        <v>0</v>
      </c>
      <c r="H29" t="n">
        <v>-1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501</v>
      </c>
    </row>
    <row r="30">
      <c r="A30" s="39" t="n">
        <v>45550</v>
      </c>
      <c r="B30" t="inlineStr">
        <is>
          <t>Sep 01-15, 2024</t>
        </is>
      </c>
      <c r="C30" t="inlineStr">
        <is>
          <t>Construction Materials</t>
        </is>
      </c>
      <c r="D30" t="n">
        <v>-393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-393</v>
      </c>
    </row>
    <row r="31">
      <c r="A31" s="39" t="n">
        <v>45550</v>
      </c>
      <c r="B31" t="inlineStr">
        <is>
          <t>Sep 01-15, 2024</t>
        </is>
      </c>
      <c r="C31" t="inlineStr">
        <is>
          <t>Consumer Durables</t>
        </is>
      </c>
      <c r="D31" t="n">
        <v>2226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2226</v>
      </c>
    </row>
    <row r="32">
      <c r="A32" s="39" t="n">
        <v>45550</v>
      </c>
      <c r="B32" t="inlineStr">
        <is>
          <t>Sep 01-15, 2024</t>
        </is>
      </c>
      <c r="C32" t="inlineStr">
        <is>
          <t>Consumer Services</t>
        </is>
      </c>
      <c r="D32" t="n">
        <v>-156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-156</v>
      </c>
    </row>
    <row r="33">
      <c r="A33" s="39" t="n">
        <v>45550</v>
      </c>
      <c r="B33" t="inlineStr">
        <is>
          <t>Sep 01-15, 2024</t>
        </is>
      </c>
      <c r="C33" t="inlineStr">
        <is>
          <t>Diversified</t>
        </is>
      </c>
      <c r="D33" t="n">
        <v>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</row>
    <row r="34">
      <c r="A34" s="39" t="n">
        <v>45550</v>
      </c>
      <c r="B34" t="inlineStr">
        <is>
          <t>Sep 01-15, 2024</t>
        </is>
      </c>
      <c r="C34" t="inlineStr">
        <is>
          <t>Fast Moving Consumer Goods</t>
        </is>
      </c>
      <c r="D34" t="n">
        <v>1372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1372</v>
      </c>
    </row>
    <row r="35">
      <c r="A35" s="39" t="n">
        <v>45550</v>
      </c>
      <c r="B35" t="inlineStr">
        <is>
          <t>Sep 01-15, 2024</t>
        </is>
      </c>
      <c r="C35" t="inlineStr">
        <is>
          <t>Financial Services</t>
        </is>
      </c>
      <c r="D35" t="n">
        <v>12253</v>
      </c>
      <c r="E35" t="n">
        <v>862</v>
      </c>
      <c r="F35" t="n">
        <v>372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13487</v>
      </c>
    </row>
    <row r="36">
      <c r="A36" s="39" t="n">
        <v>45550</v>
      </c>
      <c r="B36" t="inlineStr">
        <is>
          <t>Sep 01-15, 2024</t>
        </is>
      </c>
      <c r="C36" t="inlineStr">
        <is>
          <t>Forest Materials</t>
        </is>
      </c>
      <c r="D36" t="n">
        <v>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72</v>
      </c>
    </row>
    <row r="37">
      <c r="A37" s="39" t="n">
        <v>45550</v>
      </c>
      <c r="B37" t="inlineStr">
        <is>
          <t>Sep 01-15, 2024</t>
        </is>
      </c>
      <c r="C37" t="inlineStr">
        <is>
          <t>Healthcare</t>
        </is>
      </c>
      <c r="D37" t="n">
        <v>3652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3652</v>
      </c>
    </row>
    <row r="38">
      <c r="A38" s="39" t="n">
        <v>45550</v>
      </c>
      <c r="B38" t="inlineStr">
        <is>
          <t>Sep 01-15, 2024</t>
        </is>
      </c>
      <c r="C38" t="inlineStr">
        <is>
          <t>Information Technology</t>
        </is>
      </c>
      <c r="D38" t="n">
        <v>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48</v>
      </c>
    </row>
    <row r="39">
      <c r="A39" s="39" t="n">
        <v>45550</v>
      </c>
      <c r="B39" t="inlineStr">
        <is>
          <t>Sep 01-15, 2024</t>
        </is>
      </c>
      <c r="C39" t="inlineStr">
        <is>
          <t>Media, Entertainment &amp; Publication</t>
        </is>
      </c>
      <c r="D39" t="n">
        <v>143</v>
      </c>
      <c r="E39" t="n">
        <v>0</v>
      </c>
      <c r="F39" t="n">
        <v>-10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133</v>
      </c>
    </row>
    <row r="40">
      <c r="A40" s="39" t="n">
        <v>45550</v>
      </c>
      <c r="B40" t="inlineStr">
        <is>
          <t>Sep 01-15, 2024</t>
        </is>
      </c>
      <c r="C40" t="inlineStr">
        <is>
          <t>Metals &amp; Mining</t>
        </is>
      </c>
      <c r="D40" t="n">
        <v>-1857</v>
      </c>
      <c r="E40" t="n">
        <v>50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-1807</v>
      </c>
    </row>
    <row r="41">
      <c r="A41" s="39" t="n">
        <v>45550</v>
      </c>
      <c r="B41" t="inlineStr">
        <is>
          <t>Sep 01-15, 2024</t>
        </is>
      </c>
      <c r="C41" t="inlineStr">
        <is>
          <t>Oil, Gas &amp; Consumable Fuels</t>
        </is>
      </c>
      <c r="D41" t="n">
        <v>1672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1672</v>
      </c>
    </row>
    <row r="42">
      <c r="A42" s="39" t="n">
        <v>45550</v>
      </c>
      <c r="B42" t="inlineStr">
        <is>
          <t>Sep 01-15, 2024</t>
        </is>
      </c>
      <c r="C42" t="inlineStr">
        <is>
          <t>Others</t>
        </is>
      </c>
      <c r="D42" t="n">
        <v>2452</v>
      </c>
      <c r="E42" t="n">
        <v>-946</v>
      </c>
      <c r="F42" t="n">
        <v>98</v>
      </c>
      <c r="G42" t="n">
        <v>0</v>
      </c>
      <c r="H42" t="n">
        <v>1674</v>
      </c>
      <c r="I42" t="n">
        <v>-29</v>
      </c>
      <c r="J42" t="n">
        <v>527</v>
      </c>
      <c r="K42" t="n">
        <v>-6</v>
      </c>
      <c r="L42" t="n">
        <v>0</v>
      </c>
      <c r="M42" t="n">
        <v>9</v>
      </c>
      <c r="N42" t="n">
        <v>0</v>
      </c>
      <c r="O42" t="n">
        <v>3779</v>
      </c>
    </row>
    <row r="43">
      <c r="A43" s="39" t="n">
        <v>45550</v>
      </c>
      <c r="B43" t="inlineStr">
        <is>
          <t>Sep 01-15, 2024</t>
        </is>
      </c>
      <c r="C43" t="inlineStr">
        <is>
          <t>Power</t>
        </is>
      </c>
      <c r="D43" t="n">
        <v>1167</v>
      </c>
      <c r="E43" t="n">
        <v>-12</v>
      </c>
      <c r="F43" t="n">
        <v>-14</v>
      </c>
      <c r="G43" t="n">
        <v>0</v>
      </c>
      <c r="H43" t="n">
        <v>-55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1086</v>
      </c>
    </row>
    <row r="44">
      <c r="A44" s="39" t="n">
        <v>45550</v>
      </c>
      <c r="B44" t="inlineStr">
        <is>
          <t>Sep 01-15, 2024</t>
        </is>
      </c>
      <c r="C44" t="inlineStr">
        <is>
          <t>Realty</t>
        </is>
      </c>
      <c r="D44" t="n">
        <v>2903</v>
      </c>
      <c r="E44" t="n">
        <v>33</v>
      </c>
      <c r="F44" t="n">
        <v>-25</v>
      </c>
      <c r="G44" t="n">
        <v>0</v>
      </c>
      <c r="H44" t="n">
        <v>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3539</v>
      </c>
    </row>
    <row r="45">
      <c r="A45" s="39" t="n">
        <v>45550</v>
      </c>
      <c r="B45" t="inlineStr">
        <is>
          <t>Sep 01-15, 2024</t>
        </is>
      </c>
      <c r="C45" t="inlineStr">
        <is>
          <t>Services</t>
        </is>
      </c>
      <c r="D45" t="n">
        <v>-422</v>
      </c>
      <c r="E45" t="n">
        <v>0</v>
      </c>
      <c r="F45" t="n">
        <v>-35</v>
      </c>
      <c r="G45" t="n">
        <v>0</v>
      </c>
      <c r="H45" t="n">
        <v>-5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-462</v>
      </c>
    </row>
    <row r="46">
      <c r="A46" s="39" t="n">
        <v>45550</v>
      </c>
      <c r="B46" t="inlineStr">
        <is>
          <t>Sep 01-15, 2024</t>
        </is>
      </c>
      <c r="C46" t="inlineStr">
        <is>
          <t>Sovereign</t>
        </is>
      </c>
      <c r="D46" t="n">
        <v>0</v>
      </c>
      <c r="E46" t="n">
        <v>-450</v>
      </c>
      <c r="F46" t="n">
        <v>-36</v>
      </c>
      <c r="G46" t="n">
        <v>14807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14321</v>
      </c>
    </row>
    <row r="47">
      <c r="A47" s="39" t="n">
        <v>45550</v>
      </c>
      <c r="B47" t="inlineStr">
        <is>
          <t>Sep 01-15, 2024</t>
        </is>
      </c>
      <c r="C47" t="inlineStr">
        <is>
          <t>Telecommunication</t>
        </is>
      </c>
      <c r="D47" t="n">
        <v>1699</v>
      </c>
      <c r="E47" t="n">
        <v>726</v>
      </c>
      <c r="F47" t="n">
        <v>7174</v>
      </c>
      <c r="G47" t="n">
        <v>0</v>
      </c>
      <c r="H47" t="n">
        <v>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9620</v>
      </c>
    </row>
    <row r="48">
      <c r="A48" s="39" t="n">
        <v>45550</v>
      </c>
      <c r="B48" t="inlineStr">
        <is>
          <t>Sep 01-15, 2024</t>
        </is>
      </c>
      <c r="C48" t="inlineStr">
        <is>
          <t>Textiles</t>
        </is>
      </c>
      <c r="D48" t="n">
        <v>-104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-104</v>
      </c>
    </row>
    <row r="49">
      <c r="A49" s="39" t="n">
        <v>45550</v>
      </c>
      <c r="B49" t="inlineStr">
        <is>
          <t>Sep 01-15, 2024</t>
        </is>
      </c>
      <c r="C49" t="inlineStr">
        <is>
          <t>Utilities</t>
        </is>
      </c>
      <c r="D49" t="n">
        <v>46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46</v>
      </c>
    </row>
    <row r="50">
      <c r="A50" s="39" t="n">
        <v>45565</v>
      </c>
      <c r="B50" t="inlineStr">
        <is>
          <t>Sep 16-30, 2024</t>
        </is>
      </c>
      <c r="C50" t="inlineStr">
        <is>
          <t>Automobile and Auto Components</t>
        </is>
      </c>
      <c r="D50" t="n">
        <v>-123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-122</v>
      </c>
    </row>
    <row r="51">
      <c r="A51" s="39" t="n">
        <v>45565</v>
      </c>
      <c r="B51" t="inlineStr">
        <is>
          <t>Sep 16-30, 2024</t>
        </is>
      </c>
      <c r="C51" t="inlineStr">
        <is>
          <t>Capital Goods</t>
        </is>
      </c>
      <c r="D51" t="n">
        <v>2224</v>
      </c>
      <c r="E51" t="n">
        <v>-4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2220</v>
      </c>
    </row>
    <row r="52">
      <c r="A52" s="39" t="n">
        <v>45565</v>
      </c>
      <c r="B52" t="inlineStr">
        <is>
          <t>Sep 16-30, 2024</t>
        </is>
      </c>
      <c r="C52" t="inlineStr">
        <is>
          <t>Chemicals</t>
        </is>
      </c>
      <c r="D52" t="n">
        <v>746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746</v>
      </c>
    </row>
    <row r="53">
      <c r="A53" s="39" t="n">
        <v>45565</v>
      </c>
      <c r="B53" t="inlineStr">
        <is>
          <t>Sep 16-30, 2024</t>
        </is>
      </c>
      <c r="C53" t="inlineStr">
        <is>
          <t>Construction</t>
        </is>
      </c>
      <c r="D53" t="n">
        <v>511</v>
      </c>
      <c r="E53" t="n">
        <v>-39</v>
      </c>
      <c r="F53" t="n">
        <v>0</v>
      </c>
      <c r="G53" t="n">
        <v>0</v>
      </c>
      <c r="H53" t="n">
        <v>-2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470</v>
      </c>
    </row>
    <row r="54">
      <c r="A54" s="39" t="n">
        <v>45565</v>
      </c>
      <c r="B54" t="inlineStr">
        <is>
          <t>Sep 16-30, 2024</t>
        </is>
      </c>
      <c r="C54" t="inlineStr">
        <is>
          <t>Construction Materials</t>
        </is>
      </c>
      <c r="D54" t="n">
        <v>-508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-508</v>
      </c>
    </row>
    <row r="55">
      <c r="A55" s="39" t="n">
        <v>45565</v>
      </c>
      <c r="B55" t="inlineStr">
        <is>
          <t>Sep 16-30, 2024</t>
        </is>
      </c>
      <c r="C55" t="inlineStr">
        <is>
          <t>Consumer Durables</t>
        </is>
      </c>
      <c r="D55" t="n">
        <v>1510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1510</v>
      </c>
    </row>
    <row r="56">
      <c r="A56" s="39" t="n">
        <v>45565</v>
      </c>
      <c r="B56" t="inlineStr">
        <is>
          <t>Sep 16-30, 2024</t>
        </is>
      </c>
      <c r="C56" t="inlineStr">
        <is>
          <t>Consumer Services</t>
        </is>
      </c>
      <c r="D56" t="n">
        <v>-2784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-2784</v>
      </c>
    </row>
    <row r="57">
      <c r="A57" s="39" t="n">
        <v>45565</v>
      </c>
      <c r="B57" t="inlineStr">
        <is>
          <t>Sep 16-30, 2024</t>
        </is>
      </c>
      <c r="C57" t="inlineStr">
        <is>
          <t>Diversified</t>
        </is>
      </c>
      <c r="D57" t="n">
        <v>-21</v>
      </c>
      <c r="E57" t="n">
        <v>-12</v>
      </c>
      <c r="F57" t="n">
        <v>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-3</v>
      </c>
    </row>
    <row r="58">
      <c r="A58" s="39" t="n">
        <v>45565</v>
      </c>
      <c r="B58" t="inlineStr">
        <is>
          <t>Sep 16-30, 2024</t>
        </is>
      </c>
      <c r="C58" t="inlineStr">
        <is>
          <t>Fast Moving Consumer Goods</t>
        </is>
      </c>
      <c r="D58" t="n">
        <v>3528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3528</v>
      </c>
    </row>
    <row r="59">
      <c r="A59" s="39" t="n">
        <v>45565</v>
      </c>
      <c r="B59" t="inlineStr">
        <is>
          <t>Sep 16-30, 2024</t>
        </is>
      </c>
      <c r="C59" t="inlineStr">
        <is>
          <t>Financial Services</t>
        </is>
      </c>
      <c r="D59" t="n">
        <v>14947</v>
      </c>
      <c r="E59" t="n">
        <v>714</v>
      </c>
      <c r="F59" t="n">
        <v>569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16229</v>
      </c>
    </row>
    <row r="60">
      <c r="A60" s="39" t="n">
        <v>45565</v>
      </c>
      <c r="B60" t="inlineStr">
        <is>
          <t>Sep 16-30, 2024</t>
        </is>
      </c>
      <c r="C60" t="inlineStr">
        <is>
          <t>Forest Materials</t>
        </is>
      </c>
      <c r="D60" t="n">
        <v>-14</v>
      </c>
      <c r="E60" t="n">
        <v>-33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-47</v>
      </c>
    </row>
    <row r="61">
      <c r="A61" s="39" t="n">
        <v>45565</v>
      </c>
      <c r="B61" t="inlineStr">
        <is>
          <t>Sep 16-30, 2024</t>
        </is>
      </c>
      <c r="C61" t="inlineStr">
        <is>
          <t>Healthcare</t>
        </is>
      </c>
      <c r="D61" t="n">
        <v>2987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2987</v>
      </c>
    </row>
    <row r="62">
      <c r="A62" s="39" t="n">
        <v>45565</v>
      </c>
      <c r="B62" t="inlineStr">
        <is>
          <t>Sep 16-30, 2024</t>
        </is>
      </c>
      <c r="C62" t="inlineStr">
        <is>
          <t>Information Technology</t>
        </is>
      </c>
      <c r="D62" t="n">
        <v>-1267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-1267</v>
      </c>
    </row>
    <row r="63">
      <c r="A63" s="39" t="n">
        <v>45565</v>
      </c>
      <c r="B63" t="inlineStr">
        <is>
          <t>Sep 16-30, 2024</t>
        </is>
      </c>
      <c r="C63" t="inlineStr">
        <is>
          <t>Media, Entertainment &amp; Publication</t>
        </is>
      </c>
      <c r="D63" t="n">
        <v>-25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-25</v>
      </c>
    </row>
    <row r="64">
      <c r="A64" s="39" t="n">
        <v>45565</v>
      </c>
      <c r="B64" t="inlineStr">
        <is>
          <t>Sep 16-30, 2024</t>
        </is>
      </c>
      <c r="C64" t="inlineStr">
        <is>
          <t>Metals &amp; Mining</t>
        </is>
      </c>
      <c r="D64" t="n">
        <v>3012</v>
      </c>
      <c r="E64" t="n">
        <v>45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3057</v>
      </c>
    </row>
    <row r="65">
      <c r="A65" s="39" t="n">
        <v>45565</v>
      </c>
      <c r="B65" t="inlineStr">
        <is>
          <t>Sep 16-30, 2024</t>
        </is>
      </c>
      <c r="C65" t="inlineStr">
        <is>
          <t>Oil, Gas &amp; Consumable Fuels</t>
        </is>
      </c>
      <c r="D65" t="n">
        <v>-2312</v>
      </c>
      <c r="E65" t="n">
        <v>-25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-2337</v>
      </c>
    </row>
    <row r="66">
      <c r="A66" s="39" t="n">
        <v>45565</v>
      </c>
      <c r="B66" t="inlineStr">
        <is>
          <t>Sep 16-30, 2024</t>
        </is>
      </c>
      <c r="C66" t="inlineStr">
        <is>
          <t>Others</t>
        </is>
      </c>
      <c r="D66" t="n">
        <v>2032</v>
      </c>
      <c r="E66" t="n">
        <v>-104</v>
      </c>
      <c r="F66" t="n">
        <v>130</v>
      </c>
      <c r="G66" t="n">
        <v>0</v>
      </c>
      <c r="H66" t="n">
        <v>0</v>
      </c>
      <c r="I66" t="n">
        <v>15</v>
      </c>
      <c r="J66" t="n">
        <v>364</v>
      </c>
      <c r="K66" t="n">
        <v>-2</v>
      </c>
      <c r="L66" t="n">
        <v>0</v>
      </c>
      <c r="M66" t="n">
        <v>-368</v>
      </c>
      <c r="N66" t="n">
        <v>0</v>
      </c>
      <c r="O66" t="n">
        <v>2067</v>
      </c>
    </row>
    <row r="67">
      <c r="A67" s="39" t="n">
        <v>45565</v>
      </c>
      <c r="B67" t="inlineStr">
        <is>
          <t>Sep 16-30, 2024</t>
        </is>
      </c>
      <c r="C67" t="inlineStr">
        <is>
          <t>Power</t>
        </is>
      </c>
      <c r="D67" t="n">
        <v>242</v>
      </c>
      <c r="E67" t="n">
        <v>-46</v>
      </c>
      <c r="F67" t="n">
        <v>0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202</v>
      </c>
    </row>
    <row r="68">
      <c r="A68" s="39" t="n">
        <v>45565</v>
      </c>
      <c r="B68" t="inlineStr">
        <is>
          <t>Sep 16-30, 2024</t>
        </is>
      </c>
      <c r="C68" t="inlineStr">
        <is>
          <t>Realty</t>
        </is>
      </c>
      <c r="D68" t="n">
        <v>2472</v>
      </c>
      <c r="E68" t="n">
        <v>65</v>
      </c>
      <c r="F68" t="n">
        <v>134</v>
      </c>
      <c r="G68" t="n">
        <v>0</v>
      </c>
      <c r="H68" t="n">
        <v>170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2841</v>
      </c>
    </row>
    <row r="69">
      <c r="A69" s="39" t="n">
        <v>45565</v>
      </c>
      <c r="B69" t="inlineStr">
        <is>
          <t>Sep 16-30, 2024</t>
        </is>
      </c>
      <c r="C69" t="inlineStr">
        <is>
          <t>Services</t>
        </is>
      </c>
      <c r="D69" t="n">
        <v>2147</v>
      </c>
      <c r="E69" t="n">
        <v>0</v>
      </c>
      <c r="F69" t="n">
        <v>0</v>
      </c>
      <c r="G69" t="n">
        <v>0</v>
      </c>
      <c r="H69" t="n">
        <v>21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2168</v>
      </c>
    </row>
    <row r="70">
      <c r="A70" s="39" t="n">
        <v>45565</v>
      </c>
      <c r="B70" t="inlineStr">
        <is>
          <t>Sep 16-30, 2024</t>
        </is>
      </c>
      <c r="C70" t="inlineStr">
        <is>
          <t>Sovereign</t>
        </is>
      </c>
      <c r="D70" t="n">
        <v>0</v>
      </c>
      <c r="E70" t="n">
        <v>684</v>
      </c>
      <c r="F70" t="n">
        <v>205</v>
      </c>
      <c r="G70" t="n">
        <v>8152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9041</v>
      </c>
    </row>
    <row r="71">
      <c r="A71" s="39" t="n">
        <v>45565</v>
      </c>
      <c r="B71" t="inlineStr">
        <is>
          <t>Sep 16-30, 2024</t>
        </is>
      </c>
      <c r="C71" t="inlineStr">
        <is>
          <t>Telecommunication</t>
        </is>
      </c>
      <c r="D71" t="n">
        <v>236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236</v>
      </c>
    </row>
    <row r="72">
      <c r="A72" s="39" t="n">
        <v>45565</v>
      </c>
      <c r="B72" t="inlineStr">
        <is>
          <t>Sep 16-30, 2024</t>
        </is>
      </c>
      <c r="C72" t="inlineStr">
        <is>
          <t>Textiles</t>
        </is>
      </c>
      <c r="D72" t="n">
        <v>85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85</v>
      </c>
    </row>
    <row r="73">
      <c r="A73" s="39" t="n">
        <v>45565</v>
      </c>
      <c r="B73" t="inlineStr">
        <is>
          <t>Sep 16-30, 2024</t>
        </is>
      </c>
      <c r="C73" t="inlineStr">
        <is>
          <t>Utilities</t>
        </is>
      </c>
      <c r="D73" t="n">
        <v>239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239</v>
      </c>
    </row>
    <row r="74">
      <c r="A74" s="39" t="n">
        <v>45580</v>
      </c>
      <c r="B74" t="inlineStr">
        <is>
          <t>Oct 01-15, 2024</t>
        </is>
      </c>
      <c r="C74" t="inlineStr">
        <is>
          <t>Automobile and Auto Components</t>
        </is>
      </c>
      <c r="D74" t="n">
        <v>-8131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-8131</v>
      </c>
    </row>
    <row r="75">
      <c r="A75" s="39" t="n">
        <v>45580</v>
      </c>
      <c r="B75" t="inlineStr">
        <is>
          <t>Oct 01-15, 2024</t>
        </is>
      </c>
      <c r="C75" t="inlineStr">
        <is>
          <t>Capital Goods</t>
        </is>
      </c>
      <c r="D75" t="n">
        <v>-853</v>
      </c>
      <c r="E75" t="n">
        <v>-22</v>
      </c>
      <c r="F75" t="n">
        <v>-1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-876</v>
      </c>
    </row>
    <row r="76">
      <c r="A76" s="39" t="n">
        <v>45580</v>
      </c>
      <c r="B76" t="inlineStr">
        <is>
          <t>Oct 01-15, 2024</t>
        </is>
      </c>
      <c r="C76" t="inlineStr">
        <is>
          <t>Chemicals</t>
        </is>
      </c>
      <c r="D76" t="n">
        <v>552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552</v>
      </c>
    </row>
    <row r="77">
      <c r="A77" s="39" t="n">
        <v>45580</v>
      </c>
      <c r="B77" t="inlineStr">
        <is>
          <t>Oct 01-15, 2024</t>
        </is>
      </c>
      <c r="C77" t="inlineStr">
        <is>
          <t>Construction</t>
        </is>
      </c>
      <c r="D77" t="n">
        <v>-1723</v>
      </c>
      <c r="E77" t="n">
        <v>0</v>
      </c>
      <c r="F77" t="n">
        <v>0</v>
      </c>
      <c r="G77" t="n">
        <v>0</v>
      </c>
      <c r="H77" t="n">
        <v>-1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-1724</v>
      </c>
    </row>
    <row r="78">
      <c r="A78" s="39" t="n">
        <v>45580</v>
      </c>
      <c r="B78" t="inlineStr">
        <is>
          <t>Oct 01-15, 2024</t>
        </is>
      </c>
      <c r="C78" t="inlineStr">
        <is>
          <t>Construction Materials</t>
        </is>
      </c>
      <c r="D78" t="n">
        <v>-1426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-1426</v>
      </c>
    </row>
    <row r="79">
      <c r="A79" s="39" t="n">
        <v>45580</v>
      </c>
      <c r="B79" t="inlineStr">
        <is>
          <t>Oct 01-15, 2024</t>
        </is>
      </c>
      <c r="C79" t="inlineStr">
        <is>
          <t>Consumer Durables</t>
        </is>
      </c>
      <c r="D79" t="n">
        <v>-846</v>
      </c>
      <c r="E79" t="n">
        <v>-125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-971</v>
      </c>
    </row>
    <row r="80">
      <c r="A80" s="39" t="n">
        <v>45580</v>
      </c>
      <c r="B80" t="inlineStr">
        <is>
          <t>Oct 01-15, 2024</t>
        </is>
      </c>
      <c r="C80" t="inlineStr">
        <is>
          <t>Consumer Services</t>
        </is>
      </c>
      <c r="D80" t="n">
        <v>-4633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-4633</v>
      </c>
    </row>
    <row r="81">
      <c r="A81" s="39" t="n">
        <v>45580</v>
      </c>
      <c r="B81" t="inlineStr">
        <is>
          <t>Oct 01-15, 2024</t>
        </is>
      </c>
      <c r="C81" t="inlineStr">
        <is>
          <t>Diversified</t>
        </is>
      </c>
      <c r="D81" t="n">
        <v>21</v>
      </c>
      <c r="E81" t="n">
        <v>0</v>
      </c>
      <c r="F81" t="n">
        <v>-30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-9</v>
      </c>
    </row>
    <row r="82">
      <c r="A82" s="39" t="n">
        <v>45580</v>
      </c>
      <c r="B82" t="inlineStr">
        <is>
          <t>Oct 01-15, 2024</t>
        </is>
      </c>
      <c r="C82" t="inlineStr">
        <is>
          <t>Fast Moving Consumer Goods</t>
        </is>
      </c>
      <c r="D82" t="n">
        <v>-6818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-6818</v>
      </c>
    </row>
    <row r="83">
      <c r="A83" s="39" t="n">
        <v>45580</v>
      </c>
      <c r="B83" t="inlineStr">
        <is>
          <t>Oct 01-15, 2024</t>
        </is>
      </c>
      <c r="C83" t="inlineStr">
        <is>
          <t>Financial Services</t>
        </is>
      </c>
      <c r="D83" t="n">
        <v>-23274</v>
      </c>
      <c r="E83" t="n">
        <v>-70</v>
      </c>
      <c r="F83" t="n">
        <v>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-23283</v>
      </c>
    </row>
    <row r="84">
      <c r="A84" s="39" t="n">
        <v>45580</v>
      </c>
      <c r="B84" t="inlineStr">
        <is>
          <t>Oct 01-15, 2024</t>
        </is>
      </c>
      <c r="C84" t="inlineStr">
        <is>
          <t>Forest Materials</t>
        </is>
      </c>
      <c r="D84" t="n">
        <v>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9</v>
      </c>
    </row>
    <row r="85">
      <c r="A85" s="39" t="n">
        <v>45580</v>
      </c>
      <c r="B85" t="inlineStr">
        <is>
          <t>Oct 01-15, 2024</t>
        </is>
      </c>
      <c r="C85" t="inlineStr">
        <is>
          <t>Healthcare</t>
        </is>
      </c>
      <c r="D85" t="n">
        <v>-2376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-2376</v>
      </c>
    </row>
    <row r="86">
      <c r="A86" s="39" t="n">
        <v>45580</v>
      </c>
      <c r="B86" t="inlineStr">
        <is>
          <t>Oct 01-15, 2024</t>
        </is>
      </c>
      <c r="C86" t="inlineStr">
        <is>
          <t>Information Technology</t>
        </is>
      </c>
      <c r="D86" t="n">
        <v>-2727</v>
      </c>
      <c r="E86" t="n">
        <v>0</v>
      </c>
      <c r="F86" t="n">
        <v>-11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-2738</v>
      </c>
    </row>
    <row r="87">
      <c r="A87" s="39" t="n">
        <v>45580</v>
      </c>
      <c r="B87" t="inlineStr">
        <is>
          <t>Oct 01-15, 2024</t>
        </is>
      </c>
      <c r="C87" t="inlineStr">
        <is>
          <t>Media, Entertainment &amp; Publication</t>
        </is>
      </c>
      <c r="D87" t="n">
        <v>-85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-85</v>
      </c>
    </row>
    <row r="88">
      <c r="A88" s="39" t="n">
        <v>45580</v>
      </c>
      <c r="B88" t="inlineStr">
        <is>
          <t>Oct 01-15, 2024</t>
        </is>
      </c>
      <c r="C88" t="inlineStr">
        <is>
          <t>Metals &amp; Mining</t>
        </is>
      </c>
      <c r="D88" t="n">
        <v>222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222</v>
      </c>
    </row>
    <row r="89">
      <c r="A89" s="39" t="n">
        <v>45580</v>
      </c>
      <c r="B89" t="inlineStr">
        <is>
          <t>Oct 01-15, 2024</t>
        </is>
      </c>
      <c r="C89" t="inlineStr">
        <is>
          <t>Oil, Gas &amp; Consumable Fuels</t>
        </is>
      </c>
      <c r="D89" t="n">
        <v>-12371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-12371</v>
      </c>
    </row>
    <row r="90">
      <c r="A90" s="39" t="n">
        <v>45580</v>
      </c>
      <c r="B90" t="inlineStr">
        <is>
          <t>Oct 01-15, 2024</t>
        </is>
      </c>
      <c r="C90" t="inlineStr">
        <is>
          <t>Others</t>
        </is>
      </c>
      <c r="D90" t="n">
        <v>4271</v>
      </c>
      <c r="E90" t="n">
        <v>-165</v>
      </c>
      <c r="F90" t="n">
        <v>-1525</v>
      </c>
      <c r="G90" t="n">
        <v>-30</v>
      </c>
      <c r="H90" t="n">
        <v>567</v>
      </c>
      <c r="I90" t="n">
        <v>10</v>
      </c>
      <c r="J90" t="n">
        <v>-179</v>
      </c>
      <c r="K90" t="n">
        <v>0</v>
      </c>
      <c r="L90" t="n">
        <v>0</v>
      </c>
      <c r="M90" t="n">
        <v>-8</v>
      </c>
      <c r="N90" t="n">
        <v>0</v>
      </c>
      <c r="O90" t="n">
        <v>2941</v>
      </c>
    </row>
    <row r="91">
      <c r="A91" s="39" t="n">
        <v>45580</v>
      </c>
      <c r="B91" t="inlineStr">
        <is>
          <t>Oct 01-15, 2024</t>
        </is>
      </c>
      <c r="C91" t="inlineStr">
        <is>
          <t>Power</t>
        </is>
      </c>
      <c r="D91" t="n">
        <v>-2678</v>
      </c>
      <c r="E91" t="n">
        <v>-20</v>
      </c>
      <c r="F91" t="n">
        <v>-14</v>
      </c>
      <c r="G91" t="n">
        <v>0</v>
      </c>
      <c r="H91" t="n">
        <v>-14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-2726</v>
      </c>
    </row>
    <row r="92">
      <c r="A92" s="39" t="n">
        <v>45580</v>
      </c>
      <c r="B92" t="inlineStr">
        <is>
          <t>Oct 01-15, 2024</t>
        </is>
      </c>
      <c r="C92" t="inlineStr">
        <is>
          <t>Realty</t>
        </is>
      </c>
      <c r="D92" t="n">
        <v>-953</v>
      </c>
      <c r="E92" t="n">
        <v>-10</v>
      </c>
      <c r="F92" t="n">
        <v>0</v>
      </c>
      <c r="G92" t="n">
        <v>0</v>
      </c>
      <c r="H92" t="n">
        <v>358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-605</v>
      </c>
    </row>
    <row r="93">
      <c r="A93" s="39" t="n">
        <v>45580</v>
      </c>
      <c r="B93" t="inlineStr">
        <is>
          <t>Oct 01-15, 2024</t>
        </is>
      </c>
      <c r="C93" t="inlineStr">
        <is>
          <t>Services</t>
        </is>
      </c>
      <c r="D93" t="n">
        <v>-937</v>
      </c>
      <c r="E93" t="n">
        <v>0</v>
      </c>
      <c r="F93" t="n">
        <v>0</v>
      </c>
      <c r="G93" t="n">
        <v>0</v>
      </c>
      <c r="H93" t="n">
        <v>-2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-939</v>
      </c>
    </row>
    <row r="94">
      <c r="A94" s="39" t="n">
        <v>45580</v>
      </c>
      <c r="B94" t="inlineStr">
        <is>
          <t>Oct 01-15, 2024</t>
        </is>
      </c>
      <c r="C94" t="inlineStr">
        <is>
          <t>Sovereign</t>
        </is>
      </c>
      <c r="D94" t="n">
        <v>0</v>
      </c>
      <c r="E94" t="n">
        <v>-1742</v>
      </c>
      <c r="F94" t="n">
        <v>66</v>
      </c>
      <c r="G94" t="n">
        <v>2635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959</v>
      </c>
    </row>
    <row r="95">
      <c r="A95" s="39" t="n">
        <v>45580</v>
      </c>
      <c r="B95" t="inlineStr">
        <is>
          <t>Oct 01-15, 2024</t>
        </is>
      </c>
      <c r="C95" t="inlineStr">
        <is>
          <t>Telecommunication</t>
        </is>
      </c>
      <c r="D95" t="n">
        <v>-1603</v>
      </c>
      <c r="E95" t="n">
        <v>-731</v>
      </c>
      <c r="F95" t="n">
        <v>726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-1608</v>
      </c>
    </row>
    <row r="96">
      <c r="A96" s="39" t="n">
        <v>45580</v>
      </c>
      <c r="B96" t="inlineStr">
        <is>
          <t>Oct 01-15, 2024</t>
        </is>
      </c>
      <c r="C96" t="inlineStr">
        <is>
          <t>Textiles</t>
        </is>
      </c>
      <c r="D96" t="n">
        <v>-68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-68</v>
      </c>
    </row>
    <row r="97">
      <c r="A97" s="39" t="n">
        <v>45580</v>
      </c>
      <c r="B97" t="inlineStr">
        <is>
          <t>Oct 01-15, 2024</t>
        </is>
      </c>
      <c r="C97" t="inlineStr">
        <is>
          <t>Utilities</t>
        </is>
      </c>
      <c r="D97" t="n">
        <v>127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127</v>
      </c>
    </row>
    <row r="98">
      <c r="A98" s="39" t="n">
        <v>45596</v>
      </c>
      <c r="B98" t="inlineStr">
        <is>
          <t>Oct 16-31, 2024</t>
        </is>
      </c>
      <c r="C98" t="inlineStr">
        <is>
          <t>Automobile and Auto Components</t>
        </is>
      </c>
      <c r="D98" t="n">
        <v>-2309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-2309</v>
      </c>
    </row>
    <row r="99">
      <c r="A99" s="39" t="n">
        <v>45596</v>
      </c>
      <c r="B99" t="inlineStr">
        <is>
          <t>Oct 16-31, 2024</t>
        </is>
      </c>
      <c r="C99" t="inlineStr">
        <is>
          <t>Capital Goods</t>
        </is>
      </c>
      <c r="D99" t="n">
        <v>-1933</v>
      </c>
      <c r="E99" t="n">
        <v>-4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-1937</v>
      </c>
    </row>
    <row r="100">
      <c r="A100" s="39" t="n">
        <v>45596</v>
      </c>
      <c r="B100" t="inlineStr">
        <is>
          <t>Oct 16-31, 2024</t>
        </is>
      </c>
      <c r="C100" t="inlineStr">
        <is>
          <t>Chemicals</t>
        </is>
      </c>
      <c r="D100" t="n">
        <v>31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31</v>
      </c>
    </row>
    <row r="101">
      <c r="A101" s="39" t="n">
        <v>45596</v>
      </c>
      <c r="B101" t="inlineStr">
        <is>
          <t>Oct 16-31, 2024</t>
        </is>
      </c>
      <c r="C101" t="inlineStr">
        <is>
          <t>Construction</t>
        </is>
      </c>
      <c r="D101" t="n">
        <v>-2927</v>
      </c>
      <c r="E101" t="n">
        <v>15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-2912</v>
      </c>
    </row>
    <row r="102">
      <c r="A102" s="39" t="n">
        <v>45596</v>
      </c>
      <c r="B102" t="inlineStr">
        <is>
          <t>Oct 16-31, 2024</t>
        </is>
      </c>
      <c r="C102" t="inlineStr">
        <is>
          <t>Construction Materials</t>
        </is>
      </c>
      <c r="D102" t="n">
        <v>-2014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-2014</v>
      </c>
    </row>
    <row r="103">
      <c r="A103" s="39" t="n">
        <v>45596</v>
      </c>
      <c r="B103" t="inlineStr">
        <is>
          <t>Oct 16-31, 2024</t>
        </is>
      </c>
      <c r="C103" t="inlineStr">
        <is>
          <t>Consumer Durables</t>
        </is>
      </c>
      <c r="D103" t="n">
        <v>-2017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-2017</v>
      </c>
    </row>
    <row r="104">
      <c r="A104" s="39" t="n">
        <v>45596</v>
      </c>
      <c r="B104" t="inlineStr">
        <is>
          <t>Oct 16-31, 2024</t>
        </is>
      </c>
      <c r="C104" t="inlineStr">
        <is>
          <t>Consumer Services</t>
        </is>
      </c>
      <c r="D104" t="n">
        <v>-4230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-4230</v>
      </c>
    </row>
    <row r="105">
      <c r="A105" s="39" t="n">
        <v>45596</v>
      </c>
      <c r="B105" t="inlineStr">
        <is>
          <t>Oct 16-31, 2024</t>
        </is>
      </c>
      <c r="C105" t="inlineStr">
        <is>
          <t>Diversified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39" t="n">
        <v>45596</v>
      </c>
      <c r="B106" t="inlineStr">
        <is>
          <t>Oct 16-31, 2024</t>
        </is>
      </c>
      <c r="C106" t="inlineStr">
        <is>
          <t>Fast Moving Consumer Goods</t>
        </is>
      </c>
      <c r="D106" t="n">
        <v>-4764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-4764</v>
      </c>
    </row>
    <row r="107">
      <c r="A107" s="39" t="n">
        <v>45596</v>
      </c>
      <c r="B107" t="inlineStr">
        <is>
          <t>Oct 16-31, 2024</t>
        </is>
      </c>
      <c r="C107" t="inlineStr">
        <is>
          <t>Financial Services</t>
        </is>
      </c>
      <c r="D107" t="n">
        <v>-2865</v>
      </c>
      <c r="E107" t="n">
        <v>-271</v>
      </c>
      <c r="F107" t="n">
        <v>104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-3031</v>
      </c>
    </row>
    <row r="108">
      <c r="A108" s="39" t="n">
        <v>45596</v>
      </c>
      <c r="B108" t="inlineStr">
        <is>
          <t>Oct 16-31, 2024</t>
        </is>
      </c>
      <c r="C108" t="inlineStr">
        <is>
          <t>Forest Materials</t>
        </is>
      </c>
      <c r="D108" t="n">
        <v>-84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-84</v>
      </c>
    </row>
    <row r="109">
      <c r="A109" s="39" t="n">
        <v>45596</v>
      </c>
      <c r="B109" t="inlineStr">
        <is>
          <t>Oct 16-31, 2024</t>
        </is>
      </c>
      <c r="C109" t="inlineStr">
        <is>
          <t>Healthcare</t>
        </is>
      </c>
      <c r="D109" t="n">
        <v>2321</v>
      </c>
      <c r="E109" t="n">
        <v>181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2502</v>
      </c>
    </row>
    <row r="110">
      <c r="A110" s="39" t="n">
        <v>45596</v>
      </c>
      <c r="B110" t="inlineStr">
        <is>
          <t>Oct 16-31, 2024</t>
        </is>
      </c>
      <c r="C110" t="inlineStr">
        <is>
          <t>Information Technology</t>
        </is>
      </c>
      <c r="D110" t="n">
        <v>-172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-172</v>
      </c>
    </row>
    <row r="111">
      <c r="A111" s="39" t="n">
        <v>45596</v>
      </c>
      <c r="B111" t="inlineStr">
        <is>
          <t>Oct 16-31, 2024</t>
        </is>
      </c>
      <c r="C111" t="inlineStr">
        <is>
          <t>Media, Entertainment &amp; Publication</t>
        </is>
      </c>
      <c r="D111" t="n">
        <v>72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72</v>
      </c>
    </row>
    <row r="112">
      <c r="A112" s="39" t="n">
        <v>45596</v>
      </c>
      <c r="B112" t="inlineStr">
        <is>
          <t>Oct 16-31, 2024</t>
        </is>
      </c>
      <c r="C112" t="inlineStr">
        <is>
          <t>Metals &amp; Mining</t>
        </is>
      </c>
      <c r="D112" t="n">
        <v>-75</v>
      </c>
      <c r="E112" t="n">
        <v>51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-24</v>
      </c>
    </row>
    <row r="113">
      <c r="A113" s="39" t="n">
        <v>45596</v>
      </c>
      <c r="B113" t="inlineStr">
        <is>
          <t>Oct 16-31, 2024</t>
        </is>
      </c>
      <c r="C113" t="inlineStr">
        <is>
          <t>Oil, Gas &amp; Consumable Fuels</t>
        </is>
      </c>
      <c r="D113" t="n">
        <v>-9073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-9073</v>
      </c>
    </row>
    <row r="114">
      <c r="A114" s="39" t="n">
        <v>45596</v>
      </c>
      <c r="B114" t="inlineStr">
        <is>
          <t>Oct 16-31, 2024</t>
        </is>
      </c>
      <c r="C114" t="inlineStr">
        <is>
          <t>Others</t>
        </is>
      </c>
      <c r="D114" t="n">
        <v>2456</v>
      </c>
      <c r="E114" t="n">
        <v>-579</v>
      </c>
      <c r="F114" t="n">
        <v>891</v>
      </c>
      <c r="G114" t="n">
        <v>0</v>
      </c>
      <c r="H114" t="n">
        <v>0</v>
      </c>
      <c r="I114" t="n">
        <v>45</v>
      </c>
      <c r="J114" t="n">
        <v>189</v>
      </c>
      <c r="K114" t="n">
        <v>-19</v>
      </c>
      <c r="L114" t="n">
        <v>0</v>
      </c>
      <c r="M114" t="n">
        <v>2</v>
      </c>
      <c r="N114" t="n">
        <v>0</v>
      </c>
      <c r="O114" t="n">
        <v>2985</v>
      </c>
    </row>
    <row r="115">
      <c r="A115" s="39" t="n">
        <v>45596</v>
      </c>
      <c r="B115" t="inlineStr">
        <is>
          <t>Oct 16-31, 2024</t>
        </is>
      </c>
      <c r="C115" t="inlineStr">
        <is>
          <t>Power</t>
        </is>
      </c>
      <c r="D115" t="n">
        <v>1168</v>
      </c>
      <c r="E115" t="n">
        <v>0</v>
      </c>
      <c r="F115" t="n">
        <v>-14</v>
      </c>
      <c r="G115" t="n">
        <v>0</v>
      </c>
      <c r="H115" t="n">
        <v>-4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1150</v>
      </c>
    </row>
    <row r="116">
      <c r="A116" s="39" t="n">
        <v>45596</v>
      </c>
      <c r="B116" t="inlineStr">
        <is>
          <t>Oct 16-31, 2024</t>
        </is>
      </c>
      <c r="C116" t="inlineStr">
        <is>
          <t>Realty</t>
        </is>
      </c>
      <c r="D116" t="n">
        <v>-437</v>
      </c>
      <c r="E116" t="n">
        <v>5</v>
      </c>
      <c r="F116" t="n">
        <v>0</v>
      </c>
      <c r="G116" t="n">
        <v>0</v>
      </c>
      <c r="H116" t="n">
        <v>349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-83</v>
      </c>
    </row>
    <row r="117">
      <c r="A117" s="39" t="n">
        <v>45596</v>
      </c>
      <c r="B117" t="inlineStr">
        <is>
          <t>Oct 16-31, 2024</t>
        </is>
      </c>
      <c r="C117" t="inlineStr">
        <is>
          <t>Services</t>
        </is>
      </c>
      <c r="D117" t="n">
        <v>34</v>
      </c>
      <c r="E117" t="n">
        <v>0</v>
      </c>
      <c r="F117" t="n">
        <v>0</v>
      </c>
      <c r="G117" t="n">
        <v>0</v>
      </c>
      <c r="H117" t="n">
        <v>-3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31</v>
      </c>
    </row>
    <row r="118">
      <c r="A118" s="39" t="n">
        <v>45596</v>
      </c>
      <c r="B118" t="inlineStr">
        <is>
          <t>Oct 16-31, 2024</t>
        </is>
      </c>
      <c r="C118" t="inlineStr">
        <is>
          <t>Sovereign</t>
        </is>
      </c>
      <c r="D118" t="n">
        <v>0</v>
      </c>
      <c r="E118" t="n">
        <v>-910</v>
      </c>
      <c r="F118" t="n">
        <v>-153</v>
      </c>
      <c r="G118" t="n">
        <v>-1932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-2995</v>
      </c>
    </row>
    <row r="119">
      <c r="A119" s="39" t="n">
        <v>45596</v>
      </c>
      <c r="B119" t="inlineStr">
        <is>
          <t>Oct 16-31, 2024</t>
        </is>
      </c>
      <c r="C119" t="inlineStr">
        <is>
          <t>Telecommunication</t>
        </is>
      </c>
      <c r="D119" t="n">
        <v>-1095</v>
      </c>
      <c r="E119" t="n">
        <v>-10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-1105</v>
      </c>
    </row>
    <row r="120">
      <c r="A120" s="39" t="n">
        <v>45596</v>
      </c>
      <c r="B120" t="inlineStr">
        <is>
          <t>Oct 16-31, 2024</t>
        </is>
      </c>
      <c r="C120" t="inlineStr">
        <is>
          <t>Textiles</t>
        </is>
      </c>
      <c r="D120" t="n">
        <v>31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31</v>
      </c>
    </row>
    <row r="121">
      <c r="A121" s="39" t="n">
        <v>45596</v>
      </c>
      <c r="B121" t="inlineStr">
        <is>
          <t>Oct 16-31, 2024</t>
        </is>
      </c>
      <c r="C121" t="inlineStr">
        <is>
          <t>Utilities</t>
        </is>
      </c>
      <c r="D121" t="n">
        <v>165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165</v>
      </c>
    </row>
    <row r="122">
      <c r="A122" s="39" t="n">
        <v>45611</v>
      </c>
      <c r="B122" t="inlineStr">
        <is>
          <t>Nov 01-15, 2024</t>
        </is>
      </c>
      <c r="C122" t="inlineStr">
        <is>
          <t>Automobile and Auto Components</t>
        </is>
      </c>
      <c r="D122" t="n">
        <v>-4411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-4411</v>
      </c>
    </row>
    <row r="123">
      <c r="A123" s="39" t="n">
        <v>45611</v>
      </c>
      <c r="B123" t="inlineStr">
        <is>
          <t>Nov 01-15, 2024</t>
        </is>
      </c>
      <c r="C123" t="inlineStr">
        <is>
          <t>Capital Goods</t>
        </is>
      </c>
      <c r="D123" t="n">
        <v>-1004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-1004</v>
      </c>
    </row>
    <row r="124">
      <c r="A124" s="39" t="n">
        <v>45611</v>
      </c>
      <c r="B124" t="inlineStr">
        <is>
          <t>Nov 01-15, 2024</t>
        </is>
      </c>
      <c r="C124" t="inlineStr">
        <is>
          <t>Chemicals</t>
        </is>
      </c>
      <c r="D124" t="n">
        <v>210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210</v>
      </c>
    </row>
    <row r="125">
      <c r="A125" s="39" t="n">
        <v>45611</v>
      </c>
      <c r="B125" t="inlineStr">
        <is>
          <t>Nov 01-15, 2024</t>
        </is>
      </c>
      <c r="C125" t="inlineStr">
        <is>
          <t>Construction</t>
        </is>
      </c>
      <c r="D125" t="n">
        <v>1917</v>
      </c>
      <c r="E125" t="n">
        <v>-3</v>
      </c>
      <c r="F125" t="n">
        <v>0</v>
      </c>
      <c r="G125" t="n">
        <v>0</v>
      </c>
      <c r="H125" t="n">
        <v>-1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1913</v>
      </c>
    </row>
    <row r="126">
      <c r="A126" s="39" t="n">
        <v>45611</v>
      </c>
      <c r="B126" t="inlineStr">
        <is>
          <t>Nov 01-15, 2024</t>
        </is>
      </c>
      <c r="C126" t="inlineStr">
        <is>
          <t>Construction Materials</t>
        </is>
      </c>
      <c r="D126" t="n">
        <v>-802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-802</v>
      </c>
    </row>
    <row r="127">
      <c r="A127" s="39" t="n">
        <v>45611</v>
      </c>
      <c r="B127" t="inlineStr">
        <is>
          <t>Nov 01-15, 2024</t>
        </is>
      </c>
      <c r="C127" t="inlineStr">
        <is>
          <t>Consumer Durables</t>
        </is>
      </c>
      <c r="D127" t="n">
        <v>-433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-433</v>
      </c>
    </row>
    <row r="128">
      <c r="A128" s="39" t="n">
        <v>45611</v>
      </c>
      <c r="B128" t="inlineStr">
        <is>
          <t>Nov 01-15, 2024</t>
        </is>
      </c>
      <c r="C128" t="inlineStr">
        <is>
          <t>Consumer Services</t>
        </is>
      </c>
      <c r="D128" t="n">
        <v>-629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-629</v>
      </c>
    </row>
    <row r="129">
      <c r="A129" s="39" t="n">
        <v>45611</v>
      </c>
      <c r="B129" t="inlineStr">
        <is>
          <t>Nov 01-15, 2024</t>
        </is>
      </c>
      <c r="C129" t="inlineStr">
        <is>
          <t>Diversified</t>
        </is>
      </c>
      <c r="D129" t="n">
        <v>-17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-17</v>
      </c>
    </row>
    <row r="130">
      <c r="A130" s="39" t="n">
        <v>45611</v>
      </c>
      <c r="B130" t="inlineStr">
        <is>
          <t>Nov 01-15, 2024</t>
        </is>
      </c>
      <c r="C130" t="inlineStr">
        <is>
          <t>Fast Moving Consumer Goods</t>
        </is>
      </c>
      <c r="D130" t="n">
        <v>-3589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-3589</v>
      </c>
    </row>
    <row r="131">
      <c r="A131" s="39" t="n">
        <v>45611</v>
      </c>
      <c r="B131" t="inlineStr">
        <is>
          <t>Nov 01-15, 2024</t>
        </is>
      </c>
      <c r="C131" t="inlineStr">
        <is>
          <t>Financial Services</t>
        </is>
      </c>
      <c r="D131" t="n">
        <v>-7092</v>
      </c>
      <c r="E131" t="n">
        <v>-570</v>
      </c>
      <c r="F131" t="n">
        <v>322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-7340</v>
      </c>
    </row>
    <row r="132">
      <c r="A132" s="39" t="n">
        <v>45611</v>
      </c>
      <c r="B132" t="inlineStr">
        <is>
          <t>Nov 01-15, 2024</t>
        </is>
      </c>
      <c r="C132" t="inlineStr">
        <is>
          <t>Forest Materials</t>
        </is>
      </c>
      <c r="D132" t="n">
        <v>45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45</v>
      </c>
    </row>
    <row r="133">
      <c r="A133" s="39" t="n">
        <v>45611</v>
      </c>
      <c r="B133" t="inlineStr">
        <is>
          <t>Nov 01-15, 2024</t>
        </is>
      </c>
      <c r="C133" t="inlineStr">
        <is>
          <t>Healthcare</t>
        </is>
      </c>
      <c r="D133" t="n">
        <v>734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734</v>
      </c>
    </row>
    <row r="134">
      <c r="A134" s="39" t="n">
        <v>45611</v>
      </c>
      <c r="B134" t="inlineStr">
        <is>
          <t>Nov 01-15, 2024</t>
        </is>
      </c>
      <c r="C134" t="inlineStr">
        <is>
          <t>Information Technology</t>
        </is>
      </c>
      <c r="D134" t="n">
        <v>3087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3087</v>
      </c>
    </row>
    <row r="135">
      <c r="A135" s="39" t="n">
        <v>45611</v>
      </c>
      <c r="B135" t="inlineStr">
        <is>
          <t>Nov 01-15, 2024</t>
        </is>
      </c>
      <c r="C135" t="inlineStr">
        <is>
          <t>Media, Entertainment &amp; Publication</t>
        </is>
      </c>
      <c r="D135" t="n">
        <v>52</v>
      </c>
      <c r="E135" t="n">
        <v>0</v>
      </c>
      <c r="F135" t="n">
        <v>-20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32</v>
      </c>
    </row>
    <row r="136">
      <c r="A136" s="39" t="n">
        <v>45611</v>
      </c>
      <c r="B136" t="inlineStr">
        <is>
          <t>Nov 01-15, 2024</t>
        </is>
      </c>
      <c r="C136" t="inlineStr">
        <is>
          <t>Metals &amp; Mining</t>
        </is>
      </c>
      <c r="D136" t="n">
        <v>-1291</v>
      </c>
      <c r="E136" t="n">
        <v>-51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-1342</v>
      </c>
    </row>
    <row r="137">
      <c r="A137" s="39" t="n">
        <v>45611</v>
      </c>
      <c r="B137" t="inlineStr">
        <is>
          <t>Nov 01-15, 2024</t>
        </is>
      </c>
      <c r="C137" t="inlineStr">
        <is>
          <t>Oil, Gas &amp; Consumable Fuels</t>
        </is>
      </c>
      <c r="D137" t="n">
        <v>-7214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-7214</v>
      </c>
    </row>
    <row r="138">
      <c r="A138" s="39" t="n">
        <v>45611</v>
      </c>
      <c r="B138" t="inlineStr">
        <is>
          <t>Nov 01-15, 2024</t>
        </is>
      </c>
      <c r="C138" t="inlineStr">
        <is>
          <t>Others</t>
        </is>
      </c>
      <c r="D138" t="n">
        <v>1473</v>
      </c>
      <c r="E138" t="n">
        <v>-560</v>
      </c>
      <c r="F138" t="n">
        <v>198</v>
      </c>
      <c r="G138" t="n">
        <v>0</v>
      </c>
      <c r="H138" t="n">
        <v>0</v>
      </c>
      <c r="I138" t="n">
        <v>-132</v>
      </c>
      <c r="J138" t="n">
        <v>-147</v>
      </c>
      <c r="K138" t="n">
        <v>13</v>
      </c>
      <c r="L138" t="n">
        <v>0</v>
      </c>
      <c r="M138" t="n">
        <v>596</v>
      </c>
      <c r="N138" t="n">
        <v>0</v>
      </c>
      <c r="O138" t="n">
        <v>1441</v>
      </c>
    </row>
    <row r="139">
      <c r="A139" s="39" t="n">
        <v>45611</v>
      </c>
      <c r="B139" t="inlineStr">
        <is>
          <t>Nov 01-15, 2024</t>
        </is>
      </c>
      <c r="C139" t="inlineStr">
        <is>
          <t>Power</t>
        </is>
      </c>
      <c r="D139" t="n">
        <v>-906</v>
      </c>
      <c r="E139" t="n">
        <v>-10</v>
      </c>
      <c r="F139" t="n">
        <v>0</v>
      </c>
      <c r="G139" t="n">
        <v>0</v>
      </c>
      <c r="H139" t="n">
        <v>-9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-925</v>
      </c>
    </row>
    <row r="140">
      <c r="A140" s="39" t="n">
        <v>45611</v>
      </c>
      <c r="B140" t="inlineStr">
        <is>
          <t>Nov 01-15, 2024</t>
        </is>
      </c>
      <c r="C140" t="inlineStr">
        <is>
          <t>Realty</t>
        </is>
      </c>
      <c r="D140" t="n">
        <v>694</v>
      </c>
      <c r="E140" t="n">
        <v>25</v>
      </c>
      <c r="F140" t="n">
        <v>0</v>
      </c>
      <c r="G140" t="n">
        <v>0</v>
      </c>
      <c r="H140" t="n">
        <v>74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793</v>
      </c>
    </row>
    <row r="141">
      <c r="A141" s="39" t="n">
        <v>45611</v>
      </c>
      <c r="B141" t="inlineStr">
        <is>
          <t>Nov 01-15, 2024</t>
        </is>
      </c>
      <c r="C141" t="inlineStr">
        <is>
          <t>Services</t>
        </is>
      </c>
      <c r="D141" t="n">
        <v>-1250</v>
      </c>
      <c r="E141" t="n">
        <v>-73</v>
      </c>
      <c r="F141" t="n">
        <v>0</v>
      </c>
      <c r="G141" t="n">
        <v>0</v>
      </c>
      <c r="H141" t="n">
        <v>-2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-1325</v>
      </c>
    </row>
    <row r="142">
      <c r="A142" s="39" t="n">
        <v>45611</v>
      </c>
      <c r="B142" t="inlineStr">
        <is>
          <t>Nov 01-15, 2024</t>
        </is>
      </c>
      <c r="C142" t="inlineStr">
        <is>
          <t>Sovereign</t>
        </is>
      </c>
      <c r="D142" t="n">
        <v>0</v>
      </c>
      <c r="E142" t="n">
        <v>1284</v>
      </c>
      <c r="F142" t="n">
        <v>-138</v>
      </c>
      <c r="G142" t="n">
        <v>-4717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-3571</v>
      </c>
    </row>
    <row r="143">
      <c r="A143" s="39" t="n">
        <v>45611</v>
      </c>
      <c r="B143" t="inlineStr">
        <is>
          <t>Nov 01-15, 2024</t>
        </is>
      </c>
      <c r="C143" t="inlineStr">
        <is>
          <t>Telecommunication</t>
        </is>
      </c>
      <c r="D143" t="n">
        <v>-2136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-2136</v>
      </c>
    </row>
    <row r="144">
      <c r="A144" s="39" t="n">
        <v>45611</v>
      </c>
      <c r="B144" t="inlineStr">
        <is>
          <t>Nov 01-15, 2024</t>
        </is>
      </c>
      <c r="C144" t="inlineStr">
        <is>
          <t>Textiles</t>
        </is>
      </c>
      <c r="D144" t="n">
        <v>92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92</v>
      </c>
    </row>
    <row r="145">
      <c r="A145" s="39" t="n">
        <v>45611</v>
      </c>
      <c r="B145" t="inlineStr">
        <is>
          <t>Nov 01-15, 2024</t>
        </is>
      </c>
      <c r="C145" t="inlineStr">
        <is>
          <t>Utilities</t>
        </is>
      </c>
      <c r="D145" t="n">
        <v>50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50</v>
      </c>
    </row>
    <row r="146">
      <c r="A146" s="39" t="n">
        <v>45626</v>
      </c>
      <c r="B146" t="inlineStr">
        <is>
          <t>Nov 16-30, 2024</t>
        </is>
      </c>
      <c r="C146" t="inlineStr">
        <is>
          <t>Automobile and Auto Components</t>
        </is>
      </c>
      <c r="D146" t="n">
        <v>-3053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-3053</v>
      </c>
    </row>
    <row r="147">
      <c r="A147" s="39" t="n">
        <v>45626</v>
      </c>
      <c r="B147" t="inlineStr">
        <is>
          <t>Nov 16-30, 2024</t>
        </is>
      </c>
      <c r="C147" t="inlineStr">
        <is>
          <t>Capital Goods</t>
        </is>
      </c>
      <c r="D147" t="n">
        <v>681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681</v>
      </c>
    </row>
    <row r="148">
      <c r="A148" s="39" t="n">
        <v>45626</v>
      </c>
      <c r="B148" t="inlineStr">
        <is>
          <t>Nov 16-30, 2024</t>
        </is>
      </c>
      <c r="C148" t="inlineStr">
        <is>
          <t>Chemicals</t>
        </is>
      </c>
      <c r="D148" t="n">
        <v>-197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-197</v>
      </c>
    </row>
    <row r="149">
      <c r="A149" s="39" t="n">
        <v>45626</v>
      </c>
      <c r="B149" t="inlineStr">
        <is>
          <t>Nov 16-30, 2024</t>
        </is>
      </c>
      <c r="C149" t="inlineStr">
        <is>
          <t>Construction</t>
        </is>
      </c>
      <c r="D149" t="n">
        <v>89</v>
      </c>
      <c r="E149" t="n">
        <v>-13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76</v>
      </c>
    </row>
    <row r="150">
      <c r="A150" s="39" t="n">
        <v>45626</v>
      </c>
      <c r="B150" t="inlineStr">
        <is>
          <t>Nov 16-30, 2024</t>
        </is>
      </c>
      <c r="C150" t="inlineStr">
        <is>
          <t>Construction Materials</t>
        </is>
      </c>
      <c r="D150" t="n">
        <v>-1913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-1913</v>
      </c>
    </row>
    <row r="151">
      <c r="A151" s="39" t="n">
        <v>45626</v>
      </c>
      <c r="B151" t="inlineStr">
        <is>
          <t>Nov 16-30, 2024</t>
        </is>
      </c>
      <c r="C151" t="inlineStr">
        <is>
          <t>Consumer Durables</t>
        </is>
      </c>
      <c r="D151" t="n">
        <v>426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426</v>
      </c>
    </row>
    <row r="152">
      <c r="A152" s="39" t="n">
        <v>45626</v>
      </c>
      <c r="B152" t="inlineStr">
        <is>
          <t>Nov 16-30, 2024</t>
        </is>
      </c>
      <c r="C152" t="inlineStr">
        <is>
          <t>Consumer Services</t>
        </is>
      </c>
      <c r="D152" t="n">
        <v>471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471</v>
      </c>
    </row>
    <row r="153">
      <c r="A153" s="39" t="n">
        <v>45626</v>
      </c>
      <c r="B153" t="inlineStr">
        <is>
          <t>Nov 16-30, 2024</t>
        </is>
      </c>
      <c r="C153" t="inlineStr">
        <is>
          <t>Diversified</t>
        </is>
      </c>
      <c r="D153" t="n">
        <v>-6</v>
      </c>
      <c r="E153" t="n">
        <v>100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94</v>
      </c>
    </row>
    <row r="154">
      <c r="A154" s="39" t="n">
        <v>45626</v>
      </c>
      <c r="B154" t="inlineStr">
        <is>
          <t>Nov 16-30, 2024</t>
        </is>
      </c>
      <c r="C154" t="inlineStr">
        <is>
          <t>Fast Moving Consumer Goods</t>
        </is>
      </c>
      <c r="D154" t="n">
        <v>2184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2184</v>
      </c>
    </row>
    <row r="155">
      <c r="A155" s="39" t="n">
        <v>45626</v>
      </c>
      <c r="B155" t="inlineStr">
        <is>
          <t>Nov 16-30, 2024</t>
        </is>
      </c>
      <c r="C155" t="inlineStr">
        <is>
          <t>Financial Services</t>
        </is>
      </c>
      <c r="D155" t="n">
        <v>9597</v>
      </c>
      <c r="E155" t="n">
        <v>-1280</v>
      </c>
      <c r="F155" t="n">
        <v>222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8539</v>
      </c>
    </row>
    <row r="156">
      <c r="A156" s="39" t="n">
        <v>45626</v>
      </c>
      <c r="B156" t="inlineStr">
        <is>
          <t>Nov 16-30, 2024</t>
        </is>
      </c>
      <c r="C156" t="inlineStr">
        <is>
          <t>Forest Materials</t>
        </is>
      </c>
      <c r="D156" t="n">
        <v>29</v>
      </c>
      <c r="E156" t="n">
        <v>-10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19</v>
      </c>
    </row>
    <row r="157">
      <c r="A157" s="39" t="n">
        <v>45626</v>
      </c>
      <c r="B157" t="inlineStr">
        <is>
          <t>Nov 16-30, 2024</t>
        </is>
      </c>
      <c r="C157" t="inlineStr">
        <is>
          <t>Healthcare</t>
        </is>
      </c>
      <c r="D157" t="n">
        <v>-254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-254</v>
      </c>
    </row>
    <row r="158">
      <c r="A158" s="39" t="n">
        <v>45626</v>
      </c>
      <c r="B158" t="inlineStr">
        <is>
          <t>Nov 16-30, 2024</t>
        </is>
      </c>
      <c r="C158" t="inlineStr">
        <is>
          <t>Information Technology</t>
        </is>
      </c>
      <c r="D158" t="n">
        <v>2429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2429</v>
      </c>
    </row>
    <row r="159">
      <c r="A159" s="39" t="n">
        <v>45626</v>
      </c>
      <c r="B159" t="inlineStr">
        <is>
          <t>Nov 16-30, 2024</t>
        </is>
      </c>
      <c r="C159" t="inlineStr">
        <is>
          <t>Media, Entertainment &amp; Publication</t>
        </is>
      </c>
      <c r="D159" t="n">
        <v>-55</v>
      </c>
      <c r="E159" t="n">
        <v>0</v>
      </c>
      <c r="F159" t="n">
        <v>-20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-75</v>
      </c>
    </row>
    <row r="160">
      <c r="A160" s="39" t="n">
        <v>45626</v>
      </c>
      <c r="B160" t="inlineStr">
        <is>
          <t>Nov 16-30, 2024</t>
        </is>
      </c>
      <c r="C160" t="inlineStr">
        <is>
          <t>Metals &amp; Mining</t>
        </is>
      </c>
      <c r="D160" t="n">
        <v>86</v>
      </c>
      <c r="E160" t="n">
        <v>28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114</v>
      </c>
    </row>
    <row r="161">
      <c r="A161" s="39" t="n">
        <v>45626</v>
      </c>
      <c r="B161" t="inlineStr">
        <is>
          <t>Nov 16-30, 2024</t>
        </is>
      </c>
      <c r="C161" t="inlineStr">
        <is>
          <t>Oil, Gas &amp; Consumable Fuels</t>
        </is>
      </c>
      <c r="D161" t="n">
        <v>-6132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-6132</v>
      </c>
    </row>
    <row r="162">
      <c r="A162" s="39" t="n">
        <v>45626</v>
      </c>
      <c r="B162" t="inlineStr">
        <is>
          <t>Nov 16-30, 2024</t>
        </is>
      </c>
      <c r="C162" t="inlineStr">
        <is>
          <t>Others</t>
        </is>
      </c>
      <c r="D162" t="n">
        <v>-44</v>
      </c>
      <c r="E162" t="n">
        <v>272</v>
      </c>
      <c r="F162" t="n">
        <v>2107</v>
      </c>
      <c r="G162" t="n">
        <v>0</v>
      </c>
      <c r="H162" t="n">
        <v>0</v>
      </c>
      <c r="I162" t="n">
        <v>-303</v>
      </c>
      <c r="J162" t="n">
        <v>142</v>
      </c>
      <c r="K162" t="n">
        <v>65</v>
      </c>
      <c r="L162" t="n">
        <v>0</v>
      </c>
      <c r="M162" t="n">
        <v>7</v>
      </c>
      <c r="N162" t="n">
        <v>0</v>
      </c>
      <c r="O162" t="n">
        <v>2246</v>
      </c>
    </row>
    <row r="163">
      <c r="A163" s="39" t="n">
        <v>45626</v>
      </c>
      <c r="B163" t="inlineStr">
        <is>
          <t>Nov 16-30, 2024</t>
        </is>
      </c>
      <c r="C163" t="inlineStr">
        <is>
          <t>Power</t>
        </is>
      </c>
      <c r="D163" t="n">
        <v>109</v>
      </c>
      <c r="E163" t="n">
        <v>0</v>
      </c>
      <c r="F163" t="n">
        <v>0</v>
      </c>
      <c r="G163" t="n">
        <v>0</v>
      </c>
      <c r="H163" t="n">
        <v>38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147</v>
      </c>
    </row>
    <row r="164">
      <c r="A164" s="39" t="n">
        <v>45626</v>
      </c>
      <c r="B164" t="inlineStr">
        <is>
          <t>Nov 16-30, 2024</t>
        </is>
      </c>
      <c r="C164" t="inlineStr">
        <is>
          <t>Realty</t>
        </is>
      </c>
      <c r="D164" t="n">
        <v>1367</v>
      </c>
      <c r="E164" t="n">
        <v>0</v>
      </c>
      <c r="F164" t="n">
        <v>386</v>
      </c>
      <c r="G164" t="n">
        <v>0</v>
      </c>
      <c r="H164" t="n">
        <v>-133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1620</v>
      </c>
    </row>
    <row r="165">
      <c r="A165" s="39" t="n">
        <v>45626</v>
      </c>
      <c r="B165" t="inlineStr">
        <is>
          <t>Nov 16-30, 2024</t>
        </is>
      </c>
      <c r="C165" t="inlineStr">
        <is>
          <t>Services</t>
        </is>
      </c>
      <c r="D165" t="n">
        <v>-2472</v>
      </c>
      <c r="E165" t="n">
        <v>0</v>
      </c>
      <c r="F165" t="n">
        <v>0</v>
      </c>
      <c r="G165" t="n">
        <v>0</v>
      </c>
      <c r="H165" t="n">
        <v>-3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-2475</v>
      </c>
    </row>
    <row r="166">
      <c r="A166" s="39" t="n">
        <v>45626</v>
      </c>
      <c r="B166" t="inlineStr">
        <is>
          <t>Nov 16-30, 2024</t>
        </is>
      </c>
      <c r="C166" t="inlineStr">
        <is>
          <t>Sovereign</t>
        </is>
      </c>
      <c r="D166" t="n">
        <v>0</v>
      </c>
      <c r="E166" t="n">
        <v>2140</v>
      </c>
      <c r="F166" t="n">
        <v>-23</v>
      </c>
      <c r="G166" t="n">
        <v>430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2547</v>
      </c>
    </row>
    <row r="167">
      <c r="A167" s="39" t="n">
        <v>45626</v>
      </c>
      <c r="B167" t="inlineStr">
        <is>
          <t>Nov 16-30, 2024</t>
        </is>
      </c>
      <c r="C167" t="inlineStr">
        <is>
          <t>Telecommunication</t>
        </is>
      </c>
      <c r="D167" t="n">
        <v>-2942</v>
      </c>
      <c r="E167" t="n">
        <v>-56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-2998</v>
      </c>
    </row>
    <row r="168">
      <c r="A168" s="39" t="n">
        <v>45626</v>
      </c>
      <c r="B168" t="inlineStr">
        <is>
          <t>Nov 16-30, 2024</t>
        </is>
      </c>
      <c r="C168" t="inlineStr">
        <is>
          <t>Textiles</t>
        </is>
      </c>
      <c r="D168" t="n">
        <v>320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320</v>
      </c>
    </row>
    <row r="169">
      <c r="A169" s="39" t="n">
        <v>45626</v>
      </c>
      <c r="B169" t="inlineStr">
        <is>
          <t>Nov 16-30, 2024</t>
        </is>
      </c>
      <c r="C169" t="inlineStr">
        <is>
          <t>Utilities</t>
        </is>
      </c>
      <c r="D169" t="n">
        <v>89</v>
      </c>
      <c r="E169" t="n">
        <v>-6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83</v>
      </c>
    </row>
    <row r="170">
      <c r="A170" s="39" t="n">
        <v>45641</v>
      </c>
      <c r="B170" t="inlineStr">
        <is>
          <t>Dec 01-15, 2024</t>
        </is>
      </c>
      <c r="C170" t="inlineStr">
        <is>
          <t>Automobile and Auto Components</t>
        </is>
      </c>
      <c r="D170" t="n">
        <v>-1823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-1823</v>
      </c>
    </row>
    <row r="171">
      <c r="A171" s="39" t="n">
        <v>45641</v>
      </c>
      <c r="B171" t="inlineStr">
        <is>
          <t>Dec 01-15, 2024</t>
        </is>
      </c>
      <c r="C171" t="inlineStr">
        <is>
          <t>Capital Goods</t>
        </is>
      </c>
      <c r="D171" t="n">
        <v>2657</v>
      </c>
      <c r="E171" t="n">
        <v>-4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2653</v>
      </c>
    </row>
    <row r="172">
      <c r="A172" s="39" t="n">
        <v>45641</v>
      </c>
      <c r="B172" t="inlineStr">
        <is>
          <t>Dec 01-15, 2024</t>
        </is>
      </c>
      <c r="C172" t="inlineStr">
        <is>
          <t>Chemicals</t>
        </is>
      </c>
      <c r="D172" t="n">
        <v>646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646</v>
      </c>
    </row>
    <row r="173">
      <c r="A173" s="39" t="n">
        <v>45641</v>
      </c>
      <c r="B173" t="inlineStr">
        <is>
          <t>Dec 01-15, 2024</t>
        </is>
      </c>
      <c r="C173" t="inlineStr">
        <is>
          <t>Construction</t>
        </is>
      </c>
      <c r="D173" t="n">
        <v>1148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1148</v>
      </c>
    </row>
    <row r="174">
      <c r="A174" s="39" t="n">
        <v>45641</v>
      </c>
      <c r="B174" t="inlineStr">
        <is>
          <t>Dec 01-15, 2024</t>
        </is>
      </c>
      <c r="C174" t="inlineStr">
        <is>
          <t>Construction Materials</t>
        </is>
      </c>
      <c r="D174" t="n">
        <v>-174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-174</v>
      </c>
    </row>
    <row r="175">
      <c r="A175" s="39" t="n">
        <v>45641</v>
      </c>
      <c r="B175" t="inlineStr">
        <is>
          <t>Dec 01-15, 2024</t>
        </is>
      </c>
      <c r="C175" t="inlineStr">
        <is>
          <t>Consumer Durables</t>
        </is>
      </c>
      <c r="D175" t="n">
        <v>-748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-748</v>
      </c>
    </row>
    <row r="176">
      <c r="A176" s="39" t="n">
        <v>45641</v>
      </c>
      <c r="B176" t="inlineStr">
        <is>
          <t>Dec 01-15, 2024</t>
        </is>
      </c>
      <c r="C176" t="inlineStr">
        <is>
          <t>Consumer Services</t>
        </is>
      </c>
      <c r="D176" t="n">
        <v>2715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2715</v>
      </c>
    </row>
    <row r="177">
      <c r="A177" s="39" t="n">
        <v>45641</v>
      </c>
      <c r="B177" t="inlineStr">
        <is>
          <t>Dec 01-15, 2024</t>
        </is>
      </c>
      <c r="C177" t="inlineStr">
        <is>
          <t>Diversified</t>
        </is>
      </c>
      <c r="D177" t="n">
        <v>-96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-96</v>
      </c>
    </row>
    <row r="178">
      <c r="A178" s="39" t="n">
        <v>45641</v>
      </c>
      <c r="B178" t="inlineStr">
        <is>
          <t>Dec 01-15, 2024</t>
        </is>
      </c>
      <c r="C178" t="inlineStr">
        <is>
          <t>Fast Moving Consumer Goods</t>
        </is>
      </c>
      <c r="D178" t="n">
        <v>-1655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-1655</v>
      </c>
    </row>
    <row r="179">
      <c r="A179" s="39" t="n">
        <v>45641</v>
      </c>
      <c r="B179" t="inlineStr">
        <is>
          <t>Dec 01-15, 2024</t>
        </is>
      </c>
      <c r="C179" t="inlineStr">
        <is>
          <t>Financial Services</t>
        </is>
      </c>
      <c r="D179" t="n">
        <v>7424</v>
      </c>
      <c r="E179" t="n">
        <v>377</v>
      </c>
      <c r="F179" t="n">
        <v>-672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7129</v>
      </c>
    </row>
    <row r="180">
      <c r="A180" s="39" t="n">
        <v>45641</v>
      </c>
      <c r="B180" t="inlineStr">
        <is>
          <t>Dec 01-15, 2024</t>
        </is>
      </c>
      <c r="C180" t="inlineStr">
        <is>
          <t>Forest Materials</t>
        </is>
      </c>
      <c r="D180" t="n">
        <v>32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32</v>
      </c>
    </row>
    <row r="181">
      <c r="A181" s="39" t="n">
        <v>45641</v>
      </c>
      <c r="B181" t="inlineStr">
        <is>
          <t>Dec 01-15, 2024</t>
        </is>
      </c>
      <c r="C181" t="inlineStr">
        <is>
          <t>Healthcare</t>
        </is>
      </c>
      <c r="D181" t="n">
        <v>1917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1917</v>
      </c>
    </row>
    <row r="182">
      <c r="A182" s="39" t="n">
        <v>45641</v>
      </c>
      <c r="B182" t="inlineStr">
        <is>
          <t>Dec 01-15, 2024</t>
        </is>
      </c>
      <c r="C182" t="inlineStr">
        <is>
          <t>Information Technology</t>
        </is>
      </c>
      <c r="D182" t="n">
        <v>6754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6754</v>
      </c>
    </row>
    <row r="183">
      <c r="A183" s="39" t="n">
        <v>45641</v>
      </c>
      <c r="B183" t="inlineStr">
        <is>
          <t>Dec 01-15, 2024</t>
        </is>
      </c>
      <c r="C183" t="inlineStr">
        <is>
          <t>Media, Entertainment &amp; Publication</t>
        </is>
      </c>
      <c r="D183" t="n">
        <v>15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</row>
    <row r="184">
      <c r="A184" s="39" t="n">
        <v>45641</v>
      </c>
      <c r="B184" t="inlineStr">
        <is>
          <t>Dec 01-15, 2024</t>
        </is>
      </c>
      <c r="C184" t="inlineStr">
        <is>
          <t>Metals &amp; Mining</t>
        </is>
      </c>
      <c r="D184" t="n">
        <v>847</v>
      </c>
      <c r="E184" t="n">
        <v>-30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817</v>
      </c>
    </row>
    <row r="185">
      <c r="A185" s="39" t="n">
        <v>45641</v>
      </c>
      <c r="B185" t="inlineStr">
        <is>
          <t>Dec 01-15, 2024</t>
        </is>
      </c>
      <c r="C185" t="inlineStr">
        <is>
          <t>Oil, Gas &amp; Consumable Fuels</t>
        </is>
      </c>
      <c r="D185" t="n">
        <v>-5337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-5337</v>
      </c>
    </row>
    <row r="186">
      <c r="A186" s="39" t="n">
        <v>45641</v>
      </c>
      <c r="B186" t="inlineStr">
        <is>
          <t>Dec 01-15, 2024</t>
        </is>
      </c>
      <c r="C186" t="inlineStr">
        <is>
          <t>Others</t>
        </is>
      </c>
      <c r="D186" t="n">
        <v>2974</v>
      </c>
      <c r="E186" t="n">
        <v>2818</v>
      </c>
      <c r="F186" t="n">
        <v>-46</v>
      </c>
      <c r="G186" t="n">
        <v>0</v>
      </c>
      <c r="H186" t="n">
        <v>0</v>
      </c>
      <c r="I186" t="n">
        <v>-289</v>
      </c>
      <c r="J186" t="n">
        <v>-483</v>
      </c>
      <c r="K186" t="n">
        <v>-4</v>
      </c>
      <c r="L186" t="n">
        <v>0</v>
      </c>
      <c r="M186" t="n">
        <v>6</v>
      </c>
      <c r="N186" t="n">
        <v>0</v>
      </c>
      <c r="O186" t="n">
        <v>4976</v>
      </c>
    </row>
    <row r="187">
      <c r="A187" s="39" t="n">
        <v>45641</v>
      </c>
      <c r="B187" t="inlineStr">
        <is>
          <t>Dec 01-15, 2024</t>
        </is>
      </c>
      <c r="C187" t="inlineStr">
        <is>
          <t>Power</t>
        </is>
      </c>
      <c r="D187" t="n">
        <v>-552</v>
      </c>
      <c r="E187" t="n">
        <v>0</v>
      </c>
      <c r="F187" t="n">
        <v>-17</v>
      </c>
      <c r="G187" t="n">
        <v>0</v>
      </c>
      <c r="H187" t="n">
        <v>-9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-578</v>
      </c>
    </row>
    <row r="188">
      <c r="A188" s="39" t="n">
        <v>45641</v>
      </c>
      <c r="B188" t="inlineStr">
        <is>
          <t>Dec 01-15, 2024</t>
        </is>
      </c>
      <c r="C188" t="inlineStr">
        <is>
          <t>Realty</t>
        </is>
      </c>
      <c r="D188" t="n">
        <v>4689</v>
      </c>
      <c r="E188" t="n">
        <v>-2</v>
      </c>
      <c r="F188" t="n">
        <v>0</v>
      </c>
      <c r="G188" t="n">
        <v>0</v>
      </c>
      <c r="H188" t="n">
        <v>-44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4643</v>
      </c>
    </row>
    <row r="189">
      <c r="A189" s="39" t="n">
        <v>45641</v>
      </c>
      <c r="B189" t="inlineStr">
        <is>
          <t>Dec 01-15, 2024</t>
        </is>
      </c>
      <c r="C189" t="inlineStr">
        <is>
          <t>Services</t>
        </is>
      </c>
      <c r="D189" t="n">
        <v>553</v>
      </c>
      <c r="E189" t="n">
        <v>0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555</v>
      </c>
    </row>
    <row r="190">
      <c r="A190" s="39" t="n">
        <v>45641</v>
      </c>
      <c r="B190" t="inlineStr">
        <is>
          <t>Dec 01-15, 2024</t>
        </is>
      </c>
      <c r="C190" t="inlineStr">
        <is>
          <t>Sovereign</t>
        </is>
      </c>
      <c r="D190" t="n">
        <v>0</v>
      </c>
      <c r="E190" t="n">
        <v>1655</v>
      </c>
      <c r="F190" t="n">
        <v>69</v>
      </c>
      <c r="G190" t="n">
        <v>8226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9950</v>
      </c>
    </row>
    <row r="191">
      <c r="A191" s="39" t="n">
        <v>45641</v>
      </c>
      <c r="B191" t="inlineStr">
        <is>
          <t>Dec 01-15, 2024</t>
        </is>
      </c>
      <c r="C191" t="inlineStr">
        <is>
          <t>Telecommunication</t>
        </is>
      </c>
      <c r="D191" t="n">
        <v>627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627</v>
      </c>
    </row>
    <row r="192">
      <c r="A192" s="39" t="n">
        <v>45641</v>
      </c>
      <c r="B192" t="inlineStr">
        <is>
          <t>Dec 01-15, 2024</t>
        </is>
      </c>
      <c r="C192" t="inlineStr">
        <is>
          <t>Textiles</t>
        </is>
      </c>
      <c r="D192" t="n">
        <v>138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138</v>
      </c>
    </row>
    <row r="193">
      <c r="A193" s="39" t="n">
        <v>45641</v>
      </c>
      <c r="B193" t="inlineStr">
        <is>
          <t>Dec 01-15, 2024</t>
        </is>
      </c>
      <c r="C193" t="inlineStr">
        <is>
          <t>Utilities</t>
        </is>
      </c>
      <c r="D193" t="n">
        <v>15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15</v>
      </c>
    </row>
    <row r="194">
      <c r="A194" s="39" t="n">
        <v>45657</v>
      </c>
      <c r="B194" t="inlineStr">
        <is>
          <t>Dec 16-31, 2024</t>
        </is>
      </c>
      <c r="C194" t="inlineStr">
        <is>
          <t>Automobile and Auto Components</t>
        </is>
      </c>
      <c r="D194" t="n">
        <v>-2548</v>
      </c>
      <c r="E194" t="n">
        <v>-6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-2554</v>
      </c>
    </row>
    <row r="195">
      <c r="A195" s="39" t="n">
        <v>45657</v>
      </c>
      <c r="B195" t="inlineStr">
        <is>
          <t>Dec 16-31, 2024</t>
        </is>
      </c>
      <c r="C195" t="inlineStr">
        <is>
          <t>Capital Goods</t>
        </is>
      </c>
      <c r="D195" t="n">
        <v>471</v>
      </c>
      <c r="E195" t="n">
        <v>-4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467</v>
      </c>
    </row>
    <row r="196">
      <c r="A196" s="39" t="n">
        <v>45657</v>
      </c>
      <c r="B196" t="inlineStr">
        <is>
          <t>Dec 16-31, 2024</t>
        </is>
      </c>
      <c r="C196" t="inlineStr">
        <is>
          <t>Chemicals</t>
        </is>
      </c>
      <c r="D196" t="n">
        <v>-46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-46</v>
      </c>
    </row>
    <row r="197">
      <c r="A197" s="39" t="n">
        <v>45657</v>
      </c>
      <c r="B197" t="inlineStr">
        <is>
          <t>Dec 16-31, 2024</t>
        </is>
      </c>
      <c r="C197" t="inlineStr">
        <is>
          <t>Construction</t>
        </is>
      </c>
      <c r="D197" t="n">
        <v>260</v>
      </c>
      <c r="E197" t="n">
        <v>-1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259</v>
      </c>
    </row>
    <row r="198">
      <c r="A198" s="39" t="n">
        <v>45657</v>
      </c>
      <c r="B198" t="inlineStr">
        <is>
          <t>Dec 16-31, 2024</t>
        </is>
      </c>
      <c r="C198" t="inlineStr">
        <is>
          <t>Construction Materials</t>
        </is>
      </c>
      <c r="D198" t="n">
        <v>-196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-196</v>
      </c>
    </row>
    <row r="199">
      <c r="A199" s="39" t="n">
        <v>45657</v>
      </c>
      <c r="B199" t="inlineStr">
        <is>
          <t>Dec 16-31, 2024</t>
        </is>
      </c>
      <c r="C199" t="inlineStr">
        <is>
          <t>Consumer Durables</t>
        </is>
      </c>
      <c r="D199" t="n">
        <v>-152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-152</v>
      </c>
    </row>
    <row r="200">
      <c r="A200" s="39" t="n">
        <v>45657</v>
      </c>
      <c r="B200" t="inlineStr">
        <is>
          <t>Dec 16-31, 2024</t>
        </is>
      </c>
      <c r="C200" t="inlineStr">
        <is>
          <t>Consumer Services</t>
        </is>
      </c>
      <c r="D200" t="n">
        <v>505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505</v>
      </c>
    </row>
    <row r="201">
      <c r="A201" s="39" t="n">
        <v>45657</v>
      </c>
      <c r="B201" t="inlineStr">
        <is>
          <t>Dec 16-31, 2024</t>
        </is>
      </c>
      <c r="C201" t="inlineStr">
        <is>
          <t>Diversified</t>
        </is>
      </c>
      <c r="D201" t="n">
        <v>-101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-101</v>
      </c>
    </row>
    <row r="202">
      <c r="A202" s="39" t="n">
        <v>45657</v>
      </c>
      <c r="B202" t="inlineStr">
        <is>
          <t>Dec 16-31, 2024</t>
        </is>
      </c>
      <c r="C202" t="inlineStr">
        <is>
          <t>Fast Moving Consumer Goods</t>
        </is>
      </c>
      <c r="D202" t="n">
        <v>-1134</v>
      </c>
      <c r="E202" t="n">
        <v>-13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-1147</v>
      </c>
    </row>
    <row r="203">
      <c r="A203" s="39" t="n">
        <v>45657</v>
      </c>
      <c r="B203" t="inlineStr">
        <is>
          <t>Dec 16-31, 2024</t>
        </is>
      </c>
      <c r="C203" t="inlineStr">
        <is>
          <t>Financial Services</t>
        </is>
      </c>
      <c r="D203" t="n">
        <v>-4338</v>
      </c>
      <c r="E203" t="n">
        <v>-1017</v>
      </c>
      <c r="F203" t="n">
        <v>-772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-6127</v>
      </c>
    </row>
    <row r="204">
      <c r="A204" s="39" t="n">
        <v>45657</v>
      </c>
      <c r="B204" t="inlineStr">
        <is>
          <t>Dec 16-31, 2024</t>
        </is>
      </c>
      <c r="C204" t="inlineStr">
        <is>
          <t>Forest Materials</t>
        </is>
      </c>
      <c r="D204" t="n">
        <v>33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33</v>
      </c>
    </row>
    <row r="205">
      <c r="A205" s="39" t="n">
        <v>45657</v>
      </c>
      <c r="B205" t="inlineStr">
        <is>
          <t>Dec 16-31, 2024</t>
        </is>
      </c>
      <c r="C205" t="inlineStr">
        <is>
          <t>Healthcare</t>
        </is>
      </c>
      <c r="D205" t="n">
        <v>1850</v>
      </c>
      <c r="E205" t="n">
        <v>238</v>
      </c>
      <c r="F205" t="n">
        <v>1300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3388</v>
      </c>
    </row>
    <row r="206">
      <c r="A206" s="39" t="n">
        <v>45657</v>
      </c>
      <c r="B206" t="inlineStr">
        <is>
          <t>Dec 16-31, 2024</t>
        </is>
      </c>
      <c r="C206" t="inlineStr">
        <is>
          <t>Information Technology</t>
        </is>
      </c>
      <c r="D206" t="n">
        <v>2296</v>
      </c>
      <c r="E206" t="n">
        <v>0</v>
      </c>
      <c r="F206" t="n">
        <v>10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2306</v>
      </c>
    </row>
    <row r="207">
      <c r="A207" s="39" t="n">
        <v>45657</v>
      </c>
      <c r="B207" t="inlineStr">
        <is>
          <t>Dec 16-31, 2024</t>
        </is>
      </c>
      <c r="C207" t="inlineStr">
        <is>
          <t>Media, Entertainment &amp; Publication</t>
        </is>
      </c>
      <c r="D207" t="n">
        <v>110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110</v>
      </c>
    </row>
    <row r="208">
      <c r="A208" s="39" t="n">
        <v>45657</v>
      </c>
      <c r="B208" t="inlineStr">
        <is>
          <t>Dec 16-31, 2024</t>
        </is>
      </c>
      <c r="C208" t="inlineStr">
        <is>
          <t>Metals &amp; Mining</t>
        </is>
      </c>
      <c r="D208" t="n">
        <v>124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124</v>
      </c>
    </row>
    <row r="209">
      <c r="A209" s="39" t="n">
        <v>45657</v>
      </c>
      <c r="B209" t="inlineStr">
        <is>
          <t>Dec 16-31, 2024</t>
        </is>
      </c>
      <c r="C209" t="inlineStr">
        <is>
          <t>Oil, Gas &amp; Consumable Fuels</t>
        </is>
      </c>
      <c r="D209" t="n">
        <v>-5489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-5489</v>
      </c>
    </row>
    <row r="210">
      <c r="A210" s="39" t="n">
        <v>45657</v>
      </c>
      <c r="B210" t="inlineStr">
        <is>
          <t>Dec 16-31, 2024</t>
        </is>
      </c>
      <c r="C210" t="inlineStr">
        <is>
          <t>Others</t>
        </is>
      </c>
      <c r="D210" t="n">
        <v>495</v>
      </c>
      <c r="E210" t="n">
        <v>1488</v>
      </c>
      <c r="F210" t="n">
        <v>-731</v>
      </c>
      <c r="G210" t="n">
        <v>0</v>
      </c>
      <c r="H210" t="n">
        <v>207</v>
      </c>
      <c r="I210" t="n">
        <v>66</v>
      </c>
      <c r="J210" t="n">
        <v>95</v>
      </c>
      <c r="K210" t="n">
        <v>1</v>
      </c>
      <c r="L210" t="n">
        <v>0</v>
      </c>
      <c r="M210" t="n">
        <v>-4</v>
      </c>
      <c r="N210" t="n">
        <v>0</v>
      </c>
      <c r="O210" t="n">
        <v>1617</v>
      </c>
    </row>
    <row r="211">
      <c r="A211" s="39" t="n">
        <v>45657</v>
      </c>
      <c r="B211" t="inlineStr">
        <is>
          <t>Dec 16-31, 2024</t>
        </is>
      </c>
      <c r="C211" t="inlineStr">
        <is>
          <t>Power</t>
        </is>
      </c>
      <c r="D211" t="n">
        <v>-1310</v>
      </c>
      <c r="E211" t="n">
        <v>-155</v>
      </c>
      <c r="F211" t="n">
        <v>0</v>
      </c>
      <c r="G211" t="n">
        <v>0</v>
      </c>
      <c r="H211" t="n">
        <v>-232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-1697</v>
      </c>
    </row>
    <row r="212">
      <c r="A212" s="39" t="n">
        <v>45657</v>
      </c>
      <c r="B212" t="inlineStr">
        <is>
          <t>Dec 16-31, 2024</t>
        </is>
      </c>
      <c r="C212" t="inlineStr">
        <is>
          <t>Realty</t>
        </is>
      </c>
      <c r="D212" t="n">
        <v>89</v>
      </c>
      <c r="E212" t="n">
        <v>-2</v>
      </c>
      <c r="F212" t="n">
        <v>0</v>
      </c>
      <c r="G212" t="n">
        <v>0</v>
      </c>
      <c r="H212" t="n">
        <v>-1331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-1244</v>
      </c>
    </row>
    <row r="213">
      <c r="A213" s="39" t="n">
        <v>45657</v>
      </c>
      <c r="B213" t="inlineStr">
        <is>
          <t>Dec 16-31, 2024</t>
        </is>
      </c>
      <c r="C213" t="inlineStr">
        <is>
          <t>Services</t>
        </is>
      </c>
      <c r="D213" t="n">
        <v>1211</v>
      </c>
      <c r="E213" t="n">
        <v>-50</v>
      </c>
      <c r="F213" t="n">
        <v>0</v>
      </c>
      <c r="G213" t="n">
        <v>0</v>
      </c>
      <c r="H213" t="n">
        <v>-1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1160</v>
      </c>
    </row>
    <row r="214">
      <c r="A214" s="39" t="n">
        <v>45657</v>
      </c>
      <c r="B214" t="inlineStr">
        <is>
          <t>Dec 16-31, 2024</t>
        </is>
      </c>
      <c r="C214" t="inlineStr">
        <is>
          <t>Sovereign</t>
        </is>
      </c>
      <c r="D214" t="n">
        <v>0</v>
      </c>
      <c r="E214" t="n">
        <v>-1538</v>
      </c>
      <c r="F214" t="n">
        <v>0</v>
      </c>
      <c r="G214" t="n">
        <v>1390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-148</v>
      </c>
    </row>
    <row r="215">
      <c r="A215" s="39" t="n">
        <v>45657</v>
      </c>
      <c r="B215" t="inlineStr">
        <is>
          <t>Dec 16-31, 2024</t>
        </is>
      </c>
      <c r="C215" t="inlineStr">
        <is>
          <t>Telecommunication</t>
        </is>
      </c>
      <c r="D215" t="n">
        <v>-255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-255</v>
      </c>
    </row>
    <row r="216">
      <c r="A216" s="39" t="n">
        <v>45657</v>
      </c>
      <c r="B216" t="inlineStr">
        <is>
          <t>Dec 16-31, 2024</t>
        </is>
      </c>
      <c r="C216" t="inlineStr">
        <is>
          <t>Textiles</t>
        </is>
      </c>
      <c r="D216" t="n">
        <v>751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751</v>
      </c>
    </row>
    <row r="217">
      <c r="A217" s="39" t="n">
        <v>45657</v>
      </c>
      <c r="B217" t="inlineStr">
        <is>
          <t>Dec 16-31, 2024</t>
        </is>
      </c>
      <c r="C217" t="inlineStr">
        <is>
          <t>Utilities</t>
        </is>
      </c>
      <c r="D217" t="n">
        <v>54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54</v>
      </c>
    </row>
    <row r="218">
      <c r="A218" s="39" t="n">
        <v>45672</v>
      </c>
      <c r="B218" t="inlineStr">
        <is>
          <t>Jan 01-15, 2025</t>
        </is>
      </c>
      <c r="C218" t="inlineStr">
        <is>
          <t>Automobile and Auto Components</t>
        </is>
      </c>
      <c r="D218" t="n">
        <v>-1924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-1924</v>
      </c>
    </row>
    <row r="219">
      <c r="A219" s="39" t="n">
        <v>45672</v>
      </c>
      <c r="B219" t="inlineStr">
        <is>
          <t>Jan 01-15, 2025</t>
        </is>
      </c>
      <c r="C219" t="inlineStr">
        <is>
          <t>Capital Goods</t>
        </is>
      </c>
      <c r="D219" t="n">
        <v>-2620</v>
      </c>
      <c r="E219" t="n">
        <v>-6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-2626</v>
      </c>
    </row>
    <row r="220">
      <c r="A220" s="39" t="n">
        <v>45672</v>
      </c>
      <c r="B220" t="inlineStr">
        <is>
          <t>Jan 01-15, 2025</t>
        </is>
      </c>
      <c r="C220" t="inlineStr">
        <is>
          <t>Chemicals</t>
        </is>
      </c>
      <c r="D220" t="n">
        <v>42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42</v>
      </c>
    </row>
    <row r="221">
      <c r="A221" s="39" t="n">
        <v>45672</v>
      </c>
      <c r="B221" t="inlineStr">
        <is>
          <t>Jan 01-15, 2025</t>
        </is>
      </c>
      <c r="C221" t="inlineStr">
        <is>
          <t>Construction</t>
        </is>
      </c>
      <c r="D221" t="n">
        <v>-1623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-1623</v>
      </c>
    </row>
    <row r="222">
      <c r="A222" s="39" t="n">
        <v>45672</v>
      </c>
      <c r="B222" t="inlineStr">
        <is>
          <t>Jan 01-15, 2025</t>
        </is>
      </c>
      <c r="C222" t="inlineStr">
        <is>
          <t>Construction Materials</t>
        </is>
      </c>
      <c r="D222" t="n">
        <v>-793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-793</v>
      </c>
    </row>
    <row r="223">
      <c r="A223" s="39" t="n">
        <v>45672</v>
      </c>
      <c r="B223" t="inlineStr">
        <is>
          <t>Jan 01-15, 2025</t>
        </is>
      </c>
      <c r="C223" t="inlineStr">
        <is>
          <t>Consumer Durables</t>
        </is>
      </c>
      <c r="D223" t="n">
        <v>-931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-931</v>
      </c>
    </row>
    <row r="224">
      <c r="A224" s="39" t="n">
        <v>45672</v>
      </c>
      <c r="B224" t="inlineStr">
        <is>
          <t>Jan 01-15, 2025</t>
        </is>
      </c>
      <c r="C224" t="inlineStr">
        <is>
          <t>Consumer Services</t>
        </is>
      </c>
      <c r="D224" t="n">
        <v>-3507</v>
      </c>
      <c r="E224" t="n">
        <v>0</v>
      </c>
      <c r="F224" t="n">
        <v>-511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-4018</v>
      </c>
    </row>
    <row r="225">
      <c r="A225" s="39" t="n">
        <v>45672</v>
      </c>
      <c r="B225" t="inlineStr">
        <is>
          <t>Jan 01-15, 2025</t>
        </is>
      </c>
      <c r="C225" t="inlineStr">
        <is>
          <t>Diversified</t>
        </is>
      </c>
      <c r="D225" t="n">
        <v>-60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-60</v>
      </c>
    </row>
    <row r="226">
      <c r="A226" s="39" t="n">
        <v>45672</v>
      </c>
      <c r="B226" t="inlineStr">
        <is>
          <t>Jan 01-15, 2025</t>
        </is>
      </c>
      <c r="C226" t="inlineStr">
        <is>
          <t>Fast Moving Consumer Goods</t>
        </is>
      </c>
      <c r="D226" t="n">
        <v>-1134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-1134</v>
      </c>
    </row>
    <row r="227">
      <c r="A227" s="39" t="n">
        <v>45672</v>
      </c>
      <c r="B227" t="inlineStr">
        <is>
          <t>Jan 01-15, 2025</t>
        </is>
      </c>
      <c r="C227" t="inlineStr">
        <is>
          <t>Financial Services</t>
        </is>
      </c>
      <c r="D227" t="n">
        <v>-12204</v>
      </c>
      <c r="E227" t="n">
        <v>-1975</v>
      </c>
      <c r="F227" t="n">
        <v>-849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26</v>
      </c>
      <c r="N227" t="n">
        <v>0</v>
      </c>
      <c r="O227" t="n">
        <v>-15002</v>
      </c>
    </row>
    <row r="228">
      <c r="A228" s="39" t="n">
        <v>45672</v>
      </c>
      <c r="B228" t="inlineStr">
        <is>
          <t>Jan 01-15, 2025</t>
        </is>
      </c>
      <c r="C228" t="inlineStr">
        <is>
          <t>Forest Materials</t>
        </is>
      </c>
      <c r="D228" t="n">
        <v>-80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-80</v>
      </c>
    </row>
    <row r="229">
      <c r="A229" s="39" t="n">
        <v>45672</v>
      </c>
      <c r="B229" t="inlineStr">
        <is>
          <t>Jan 01-15, 2025</t>
        </is>
      </c>
      <c r="C229" t="inlineStr">
        <is>
          <t>Healthcare</t>
        </is>
      </c>
      <c r="D229" t="n">
        <v>-1460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-1460</v>
      </c>
    </row>
    <row r="230">
      <c r="A230" s="39" t="n">
        <v>45672</v>
      </c>
      <c r="B230" t="inlineStr">
        <is>
          <t>Jan 01-15, 2025</t>
        </is>
      </c>
      <c r="C230" t="inlineStr">
        <is>
          <t>Information Technology</t>
        </is>
      </c>
      <c r="D230" t="n">
        <v>-1927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-1927</v>
      </c>
    </row>
    <row r="231">
      <c r="A231" s="39" t="n">
        <v>45672</v>
      </c>
      <c r="B231" t="inlineStr">
        <is>
          <t>Jan 01-15, 2025</t>
        </is>
      </c>
      <c r="C231" t="inlineStr">
        <is>
          <t>Media, Entertainment &amp; Publication</t>
        </is>
      </c>
      <c r="D231" t="n">
        <v>177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177</v>
      </c>
    </row>
    <row r="232">
      <c r="A232" s="39" t="n">
        <v>45672</v>
      </c>
      <c r="B232" t="inlineStr">
        <is>
          <t>Jan 01-15, 2025</t>
        </is>
      </c>
      <c r="C232" t="inlineStr">
        <is>
          <t>Metals &amp; Mining</t>
        </is>
      </c>
      <c r="D232" t="n">
        <v>-1997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-1997</v>
      </c>
    </row>
    <row r="233">
      <c r="A233" s="39" t="n">
        <v>45672</v>
      </c>
      <c r="B233" t="inlineStr">
        <is>
          <t>Jan 01-15, 2025</t>
        </is>
      </c>
      <c r="C233" t="inlineStr">
        <is>
          <t>Oil, Gas &amp; Consumable Fuels</t>
        </is>
      </c>
      <c r="D233" t="n">
        <v>-1203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-1203</v>
      </c>
    </row>
    <row r="234">
      <c r="A234" s="39" t="n">
        <v>45672</v>
      </c>
      <c r="B234" t="inlineStr">
        <is>
          <t>Jan 01-15, 2025</t>
        </is>
      </c>
      <c r="C234" t="inlineStr">
        <is>
          <t>Others</t>
        </is>
      </c>
      <c r="D234" t="n">
        <v>-138</v>
      </c>
      <c r="E234" t="n">
        <v>-2826</v>
      </c>
      <c r="F234" t="n">
        <v>-6940</v>
      </c>
      <c r="G234" t="n">
        <v>0</v>
      </c>
      <c r="H234" t="n">
        <v>0</v>
      </c>
      <c r="I234" t="n">
        <v>30</v>
      </c>
      <c r="J234" t="n">
        <v>-32</v>
      </c>
      <c r="K234" t="n">
        <v>-3</v>
      </c>
      <c r="L234" t="n">
        <v>0</v>
      </c>
      <c r="M234" t="n">
        <v>11</v>
      </c>
      <c r="N234" t="n">
        <v>0</v>
      </c>
      <c r="O234" t="n">
        <v>-9898</v>
      </c>
    </row>
    <row r="235">
      <c r="A235" s="39" t="n">
        <v>45672</v>
      </c>
      <c r="B235" t="inlineStr">
        <is>
          <t>Jan 01-15, 2025</t>
        </is>
      </c>
      <c r="C235" t="inlineStr">
        <is>
          <t>Power</t>
        </is>
      </c>
      <c r="D235" t="n">
        <v>-3115</v>
      </c>
      <c r="E235" t="n">
        <v>-44</v>
      </c>
      <c r="F235" t="n">
        <v>-19</v>
      </c>
      <c r="G235" t="n">
        <v>0</v>
      </c>
      <c r="H235" t="n">
        <v>-6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-3184</v>
      </c>
    </row>
    <row r="236">
      <c r="A236" s="39" t="n">
        <v>45672</v>
      </c>
      <c r="B236" t="inlineStr">
        <is>
          <t>Jan 01-15, 2025</t>
        </is>
      </c>
      <c r="C236" t="inlineStr">
        <is>
          <t>Realty</t>
        </is>
      </c>
      <c r="D236" t="n">
        <v>-608</v>
      </c>
      <c r="E236" t="n">
        <v>-2</v>
      </c>
      <c r="F236" t="n">
        <v>0</v>
      </c>
      <c r="G236" t="n">
        <v>0</v>
      </c>
      <c r="H236" t="n">
        <v>74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-536</v>
      </c>
    </row>
    <row r="237">
      <c r="A237" s="39" t="n">
        <v>45672</v>
      </c>
      <c r="B237" t="inlineStr">
        <is>
          <t>Jan 01-15, 2025</t>
        </is>
      </c>
      <c r="C237" t="inlineStr">
        <is>
          <t>Services</t>
        </is>
      </c>
      <c r="D237" t="n">
        <v>-259</v>
      </c>
      <c r="E237" t="n">
        <v>0</v>
      </c>
      <c r="F237" t="n">
        <v>0</v>
      </c>
      <c r="G237" t="n">
        <v>0</v>
      </c>
      <c r="H237" t="n">
        <v>-2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-261</v>
      </c>
    </row>
    <row r="238">
      <c r="A238" s="39" t="n">
        <v>45672</v>
      </c>
      <c r="B238" t="inlineStr">
        <is>
          <t>Jan 01-15, 2025</t>
        </is>
      </c>
      <c r="C238" t="inlineStr">
        <is>
          <t>Sovereign</t>
        </is>
      </c>
      <c r="D238" t="n">
        <v>0</v>
      </c>
      <c r="E238" t="n">
        <v>1375</v>
      </c>
      <c r="F238" t="n">
        <v>1058</v>
      </c>
      <c r="G238" t="n">
        <v>-569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1864</v>
      </c>
    </row>
    <row r="239">
      <c r="A239" s="39" t="n">
        <v>45672</v>
      </c>
      <c r="B239" t="inlineStr">
        <is>
          <t>Jan 01-15, 2025</t>
        </is>
      </c>
      <c r="C239" t="inlineStr">
        <is>
          <t>Telecommunication</t>
        </is>
      </c>
      <c r="D239" t="n">
        <v>-499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-499</v>
      </c>
    </row>
    <row r="240">
      <c r="A240" s="39" t="n">
        <v>45672</v>
      </c>
      <c r="B240" t="inlineStr">
        <is>
          <t>Jan 01-15, 2025</t>
        </is>
      </c>
      <c r="C240" t="inlineStr">
        <is>
          <t>Textiles</t>
        </is>
      </c>
      <c r="D240" t="n">
        <v>205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205</v>
      </c>
    </row>
    <row r="241">
      <c r="A241" s="39" t="n">
        <v>45672</v>
      </c>
      <c r="B241" t="inlineStr">
        <is>
          <t>Jan 01-15, 2025</t>
        </is>
      </c>
      <c r="C241" t="inlineStr">
        <is>
          <t>Utilities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s="39" t="n">
        <v>45688</v>
      </c>
      <c r="B242" t="inlineStr">
        <is>
          <t>Jan 16-31, 2025</t>
        </is>
      </c>
      <c r="C242" t="inlineStr">
        <is>
          <t>Automobile and Auto Components</t>
        </is>
      </c>
      <c r="D242" t="n">
        <v>-3899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-3899</v>
      </c>
    </row>
    <row r="243">
      <c r="A243" s="39" t="n">
        <v>45688</v>
      </c>
      <c r="B243" t="inlineStr">
        <is>
          <t>Jan 16-31, 2025</t>
        </is>
      </c>
      <c r="C243" t="inlineStr">
        <is>
          <t>Capital Goods</t>
        </is>
      </c>
      <c r="D243" t="n">
        <v>-3077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-3077</v>
      </c>
    </row>
    <row r="244">
      <c r="A244" s="39" t="n">
        <v>45688</v>
      </c>
      <c r="B244" t="inlineStr">
        <is>
          <t>Jan 16-31, 2025</t>
        </is>
      </c>
      <c r="C244" t="inlineStr">
        <is>
          <t>Chemicals</t>
        </is>
      </c>
      <c r="D244" t="n">
        <v>313</v>
      </c>
      <c r="E244" t="n">
        <v>0</v>
      </c>
      <c r="F244" t="n">
        <v>-185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128</v>
      </c>
    </row>
    <row r="245">
      <c r="A245" s="39" t="n">
        <v>45688</v>
      </c>
      <c r="B245" t="inlineStr">
        <is>
          <t>Jan 16-31, 2025</t>
        </is>
      </c>
      <c r="C245" t="inlineStr">
        <is>
          <t>Construction</t>
        </is>
      </c>
      <c r="D245" t="n">
        <v>-1256</v>
      </c>
      <c r="E245" t="n">
        <v>0</v>
      </c>
      <c r="F245" t="n">
        <v>0</v>
      </c>
      <c r="G245" t="n">
        <v>0</v>
      </c>
      <c r="H245" t="n">
        <v>121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-1135</v>
      </c>
    </row>
    <row r="246">
      <c r="A246" s="39" t="n">
        <v>45688</v>
      </c>
      <c r="B246" t="inlineStr">
        <is>
          <t>Jan 16-31, 2025</t>
        </is>
      </c>
      <c r="C246" t="inlineStr">
        <is>
          <t>Construction Materials</t>
        </is>
      </c>
      <c r="D246" t="n">
        <v>-1277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-1277</v>
      </c>
    </row>
    <row r="247">
      <c r="A247" s="39" t="n">
        <v>45688</v>
      </c>
      <c r="B247" t="inlineStr">
        <is>
          <t>Jan 16-31, 2025</t>
        </is>
      </c>
      <c r="C247" t="inlineStr">
        <is>
          <t>Consumer Durables</t>
        </is>
      </c>
      <c r="D247" t="n">
        <v>-2869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-2869</v>
      </c>
    </row>
    <row r="248">
      <c r="A248" s="39" t="n">
        <v>45688</v>
      </c>
      <c r="B248" t="inlineStr">
        <is>
          <t>Jan 16-31, 2025</t>
        </is>
      </c>
      <c r="C248" t="inlineStr">
        <is>
          <t>Consumer Services</t>
        </is>
      </c>
      <c r="D248" t="n">
        <v>-4840</v>
      </c>
      <c r="E248" t="n">
        <v>-10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-4850</v>
      </c>
    </row>
    <row r="249">
      <c r="A249" s="39" t="n">
        <v>45688</v>
      </c>
      <c r="B249" t="inlineStr">
        <is>
          <t>Jan 16-31, 2025</t>
        </is>
      </c>
      <c r="C249" t="inlineStr">
        <is>
          <t>Diversified</t>
        </is>
      </c>
      <c r="D249" t="n">
        <v>287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287</v>
      </c>
    </row>
    <row r="250">
      <c r="A250" s="39" t="n">
        <v>45688</v>
      </c>
      <c r="B250" t="inlineStr">
        <is>
          <t>Jan 16-31, 2025</t>
        </is>
      </c>
      <c r="C250" t="inlineStr">
        <is>
          <t>Fast Moving Consumer Goods</t>
        </is>
      </c>
      <c r="D250" t="n">
        <v>-4294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-4294</v>
      </c>
    </row>
    <row r="251">
      <c r="A251" s="39" t="n">
        <v>45688</v>
      </c>
      <c r="B251" t="inlineStr">
        <is>
          <t>Jan 16-31, 2025</t>
        </is>
      </c>
      <c r="C251" t="inlineStr">
        <is>
          <t>Financial Services</t>
        </is>
      </c>
      <c r="D251" t="n">
        <v>-12745</v>
      </c>
      <c r="E251" t="n">
        <v>-389</v>
      </c>
      <c r="F251" t="n">
        <v>1419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-11715</v>
      </c>
    </row>
    <row r="252">
      <c r="A252" s="39" t="n">
        <v>45688</v>
      </c>
      <c r="B252" t="inlineStr">
        <is>
          <t>Jan 16-31, 2025</t>
        </is>
      </c>
      <c r="C252" t="inlineStr">
        <is>
          <t>Forest Materials</t>
        </is>
      </c>
      <c r="D252" t="n">
        <v>-35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-35</v>
      </c>
    </row>
    <row r="253">
      <c r="A253" s="39" t="n">
        <v>45688</v>
      </c>
      <c r="B253" t="inlineStr">
        <is>
          <t>Jan 16-31, 2025</t>
        </is>
      </c>
      <c r="C253" t="inlineStr">
        <is>
          <t>Healthcare</t>
        </is>
      </c>
      <c r="D253" t="n">
        <v>-2912</v>
      </c>
      <c r="E253" t="n">
        <v>-155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-3067</v>
      </c>
    </row>
    <row r="254">
      <c r="A254" s="39" t="n">
        <v>45688</v>
      </c>
      <c r="B254" t="inlineStr">
        <is>
          <t>Jan 16-31, 2025</t>
        </is>
      </c>
      <c r="C254" t="inlineStr">
        <is>
          <t>Information Technology</t>
        </is>
      </c>
      <c r="D254" t="n">
        <v>-4544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-4544</v>
      </c>
    </row>
    <row r="255">
      <c r="A255" s="39" t="n">
        <v>45688</v>
      </c>
      <c r="B255" t="inlineStr">
        <is>
          <t>Jan 16-31, 2025</t>
        </is>
      </c>
      <c r="C255" t="inlineStr">
        <is>
          <t>Media, Entertainment &amp; Publication</t>
        </is>
      </c>
      <c r="D255" t="n">
        <v>3</v>
      </c>
      <c r="E255" t="n">
        <v>0</v>
      </c>
      <c r="F255" t="n">
        <v>-5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-2</v>
      </c>
    </row>
    <row r="256">
      <c r="A256" s="39" t="n">
        <v>45688</v>
      </c>
      <c r="B256" t="inlineStr">
        <is>
          <t>Jan 16-31, 2025</t>
        </is>
      </c>
      <c r="C256" t="inlineStr">
        <is>
          <t>Metals &amp; Mining</t>
        </is>
      </c>
      <c r="D256" t="n">
        <v>-385</v>
      </c>
      <c r="E256" t="n">
        <v>15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-370</v>
      </c>
    </row>
    <row r="257">
      <c r="A257" s="39" t="n">
        <v>45688</v>
      </c>
      <c r="B257" t="inlineStr">
        <is>
          <t>Jan 16-31, 2025</t>
        </is>
      </c>
      <c r="C257" t="inlineStr">
        <is>
          <t>Oil, Gas &amp; Consumable Fuels</t>
        </is>
      </c>
      <c r="D257" t="n">
        <v>-369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-369</v>
      </c>
    </row>
    <row r="258">
      <c r="A258" s="39" t="n">
        <v>45688</v>
      </c>
      <c r="B258" t="inlineStr">
        <is>
          <t>Jan 16-31, 2025</t>
        </is>
      </c>
      <c r="C258" t="inlineStr">
        <is>
          <t>Others</t>
        </is>
      </c>
      <c r="D258" t="n">
        <v>1348</v>
      </c>
      <c r="E258" t="n">
        <v>908</v>
      </c>
      <c r="F258" t="n">
        <v>2285</v>
      </c>
      <c r="G258" t="n">
        <v>0</v>
      </c>
      <c r="H258" t="n">
        <v>0</v>
      </c>
      <c r="I258" t="n">
        <v>72</v>
      </c>
      <c r="J258" t="n">
        <v>-89</v>
      </c>
      <c r="K258" t="n">
        <v>-2</v>
      </c>
      <c r="L258" t="n">
        <v>0</v>
      </c>
      <c r="M258" t="n">
        <v>26</v>
      </c>
      <c r="N258" t="n">
        <v>0</v>
      </c>
      <c r="O258" t="n">
        <v>4548</v>
      </c>
    </row>
    <row r="259">
      <c r="A259" s="39" t="n">
        <v>45688</v>
      </c>
      <c r="B259" t="inlineStr">
        <is>
          <t>Jan 16-31, 2025</t>
        </is>
      </c>
      <c r="C259" t="inlineStr">
        <is>
          <t>Power</t>
        </is>
      </c>
      <c r="D259" t="n">
        <v>-1083</v>
      </c>
      <c r="E259" t="n">
        <v>-10</v>
      </c>
      <c r="F259" t="n">
        <v>0</v>
      </c>
      <c r="G259" t="n">
        <v>0</v>
      </c>
      <c r="H259" t="n">
        <v>-1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-1094</v>
      </c>
    </row>
    <row r="260">
      <c r="A260" s="39" t="n">
        <v>45688</v>
      </c>
      <c r="B260" t="inlineStr">
        <is>
          <t>Jan 16-31, 2025</t>
        </is>
      </c>
      <c r="C260" t="inlineStr">
        <is>
          <t>Realty</t>
        </is>
      </c>
      <c r="D260" t="n">
        <v>-394</v>
      </c>
      <c r="E260" t="n">
        <v>0</v>
      </c>
      <c r="F260" t="n">
        <v>0</v>
      </c>
      <c r="G260" t="n">
        <v>0</v>
      </c>
      <c r="H260" t="n">
        <v>23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-371</v>
      </c>
    </row>
    <row r="261">
      <c r="A261" s="39" t="n">
        <v>45688</v>
      </c>
      <c r="B261" t="inlineStr">
        <is>
          <t>Jan 16-31, 2025</t>
        </is>
      </c>
      <c r="C261" t="inlineStr">
        <is>
          <t>Services</t>
        </is>
      </c>
      <c r="D261" t="n">
        <v>-1334</v>
      </c>
      <c r="E261" t="n">
        <v>-9</v>
      </c>
      <c r="F261" t="n">
        <v>0</v>
      </c>
      <c r="G261" t="n">
        <v>0</v>
      </c>
      <c r="H261" t="n">
        <v>-2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-1345</v>
      </c>
    </row>
    <row r="262">
      <c r="A262" s="39" t="n">
        <v>45688</v>
      </c>
      <c r="B262" t="inlineStr">
        <is>
          <t>Jan 16-31, 2025</t>
        </is>
      </c>
      <c r="C262" t="inlineStr">
        <is>
          <t>Sovereign</t>
        </is>
      </c>
      <c r="D262" t="n">
        <v>0</v>
      </c>
      <c r="E262" t="n">
        <v>-294</v>
      </c>
      <c r="F262" t="n">
        <v>-449</v>
      </c>
      <c r="G262" t="n">
        <v>8761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8018</v>
      </c>
    </row>
    <row r="263">
      <c r="A263" s="39" t="n">
        <v>45688</v>
      </c>
      <c r="B263" t="inlineStr">
        <is>
          <t>Jan 16-31, 2025</t>
        </is>
      </c>
      <c r="C263" t="inlineStr">
        <is>
          <t>Telecommunication</t>
        </is>
      </c>
      <c r="D263" t="n">
        <v>643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643</v>
      </c>
    </row>
    <row r="264">
      <c r="A264" s="39" t="n">
        <v>45688</v>
      </c>
      <c r="B264" t="inlineStr">
        <is>
          <t>Jan 16-31, 2025</t>
        </is>
      </c>
      <c r="C264" t="inlineStr">
        <is>
          <t>Textiles</t>
        </is>
      </c>
      <c r="D264" t="n">
        <v>397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397</v>
      </c>
    </row>
    <row r="265">
      <c r="A265" s="39" t="n">
        <v>45688</v>
      </c>
      <c r="B265" t="inlineStr">
        <is>
          <t>Jan 16-31, 2025</t>
        </is>
      </c>
      <c r="C265" t="inlineStr">
        <is>
          <t>Utilities</t>
        </is>
      </c>
      <c r="D265" t="n">
        <v>-47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-47</v>
      </c>
    </row>
    <row r="266">
      <c r="A266" s="39" t="n">
        <v>45703</v>
      </c>
      <c r="B266" t="inlineStr">
        <is>
          <t>Feb 01-15, 2025</t>
        </is>
      </c>
      <c r="C266" t="inlineStr">
        <is>
          <t>Automobile and Auto Components</t>
        </is>
      </c>
      <c r="D266" t="n">
        <v>-690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-690</v>
      </c>
    </row>
    <row r="267">
      <c r="A267" s="39" t="n">
        <v>45703</v>
      </c>
      <c r="B267" t="inlineStr">
        <is>
          <t>Feb 01-15, 2025</t>
        </is>
      </c>
      <c r="C267" t="inlineStr">
        <is>
          <t>Capital Goods</t>
        </is>
      </c>
      <c r="D267" t="n">
        <v>-3206</v>
      </c>
      <c r="E267" t="n">
        <v>-4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-3210</v>
      </c>
    </row>
    <row r="268">
      <c r="A268" s="39" t="n">
        <v>45703</v>
      </c>
      <c r="B268" t="inlineStr">
        <is>
          <t>Feb 01-15, 2025</t>
        </is>
      </c>
      <c r="C268" t="inlineStr">
        <is>
          <t>Chemicals</t>
        </is>
      </c>
      <c r="D268" t="n">
        <v>337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337</v>
      </c>
    </row>
    <row r="269">
      <c r="A269" s="39" t="n">
        <v>45703</v>
      </c>
      <c r="B269" t="inlineStr">
        <is>
          <t>Feb 01-15, 2025</t>
        </is>
      </c>
      <c r="C269" t="inlineStr">
        <is>
          <t>Construction</t>
        </is>
      </c>
      <c r="D269" t="n">
        <v>-1886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-1885</v>
      </c>
    </row>
    <row r="270">
      <c r="A270" s="39" t="n">
        <v>45703</v>
      </c>
      <c r="B270" t="inlineStr">
        <is>
          <t>Feb 01-15, 2025</t>
        </is>
      </c>
      <c r="C270" t="inlineStr">
        <is>
          <t>Construction Materials</t>
        </is>
      </c>
      <c r="D270" t="n">
        <v>-2024</v>
      </c>
      <c r="E270" t="n">
        <v>0</v>
      </c>
      <c r="F270" t="n">
        <v>-10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-2034</v>
      </c>
    </row>
    <row r="271">
      <c r="A271" s="39" t="n">
        <v>45703</v>
      </c>
      <c r="B271" t="inlineStr">
        <is>
          <t>Feb 01-15, 2025</t>
        </is>
      </c>
      <c r="C271" t="inlineStr">
        <is>
          <t>Consumer Durables</t>
        </is>
      </c>
      <c r="D271" t="n">
        <v>-1049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-1049</v>
      </c>
    </row>
    <row r="272">
      <c r="A272" s="39" t="n">
        <v>45703</v>
      </c>
      <c r="B272" t="inlineStr">
        <is>
          <t>Feb 01-15, 2025</t>
        </is>
      </c>
      <c r="C272" t="inlineStr">
        <is>
          <t>Consumer Services</t>
        </is>
      </c>
      <c r="D272" t="n">
        <v>-2262</v>
      </c>
      <c r="E272" t="n">
        <v>0</v>
      </c>
      <c r="F272" t="n">
        <v>-235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-2497</v>
      </c>
    </row>
    <row r="273">
      <c r="A273" s="39" t="n">
        <v>45703</v>
      </c>
      <c r="B273" t="inlineStr">
        <is>
          <t>Feb 01-15, 2025</t>
        </is>
      </c>
      <c r="C273" t="inlineStr">
        <is>
          <t>Diversified</t>
        </is>
      </c>
      <c r="D273" t="n">
        <v>-2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-2</v>
      </c>
    </row>
    <row r="274">
      <c r="A274" s="39" t="n">
        <v>45703</v>
      </c>
      <c r="B274" t="inlineStr">
        <is>
          <t>Feb 01-15, 2025</t>
        </is>
      </c>
      <c r="C274" t="inlineStr">
        <is>
          <t>Fast Moving Consumer Goods</t>
        </is>
      </c>
      <c r="D274" t="n">
        <v>-4336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-4336</v>
      </c>
    </row>
    <row r="275">
      <c r="A275" s="39" t="n">
        <v>45703</v>
      </c>
      <c r="B275" t="inlineStr">
        <is>
          <t>Feb 01-15, 2025</t>
        </is>
      </c>
      <c r="C275" t="inlineStr">
        <is>
          <t>Financial Services</t>
        </is>
      </c>
      <c r="D275" t="n">
        <v>-5344</v>
      </c>
      <c r="E275" t="n">
        <v>-6</v>
      </c>
      <c r="F275" t="n">
        <v>683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-4667</v>
      </c>
    </row>
    <row r="276">
      <c r="A276" s="39" t="n">
        <v>45703</v>
      </c>
      <c r="B276" t="inlineStr">
        <is>
          <t>Feb 01-15, 2025</t>
        </is>
      </c>
      <c r="C276" t="inlineStr">
        <is>
          <t>Forest Materials</t>
        </is>
      </c>
      <c r="D276" t="n">
        <v>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11</v>
      </c>
    </row>
    <row r="277">
      <c r="A277" s="39" t="n">
        <v>45703</v>
      </c>
      <c r="B277" t="inlineStr">
        <is>
          <t>Feb 01-15, 2025</t>
        </is>
      </c>
      <c r="C277" t="inlineStr">
        <is>
          <t>Healthcare</t>
        </is>
      </c>
      <c r="D277" t="n">
        <v>1534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1534</v>
      </c>
    </row>
    <row r="278">
      <c r="A278" s="39" t="n">
        <v>45703</v>
      </c>
      <c r="B278" t="inlineStr">
        <is>
          <t>Feb 01-15, 2025</t>
        </is>
      </c>
      <c r="C278" t="inlineStr">
        <is>
          <t>Information Technology</t>
        </is>
      </c>
      <c r="D278" t="n">
        <v>693</v>
      </c>
      <c r="E278" t="n">
        <v>0</v>
      </c>
      <c r="F278" t="n">
        <v>-1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692</v>
      </c>
    </row>
    <row r="279">
      <c r="A279" s="39" t="n">
        <v>45703</v>
      </c>
      <c r="B279" t="inlineStr">
        <is>
          <t>Feb 01-15, 2025</t>
        </is>
      </c>
      <c r="C279" t="inlineStr">
        <is>
          <t>Media, Entertainment &amp; Publication</t>
        </is>
      </c>
      <c r="D279" t="n">
        <v>-12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-12</v>
      </c>
    </row>
    <row r="280">
      <c r="A280" s="39" t="n">
        <v>45703</v>
      </c>
      <c r="B280" t="inlineStr">
        <is>
          <t>Feb 01-15, 2025</t>
        </is>
      </c>
      <c r="C280" t="inlineStr">
        <is>
          <t>Metals &amp; Mining</t>
        </is>
      </c>
      <c r="D280" t="n">
        <v>-558</v>
      </c>
      <c r="E280" t="n">
        <v>-15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-573</v>
      </c>
    </row>
    <row r="281">
      <c r="A281" s="39" t="n">
        <v>45703</v>
      </c>
      <c r="B281" t="inlineStr">
        <is>
          <t>Feb 01-15, 2025</t>
        </is>
      </c>
      <c r="C281" t="inlineStr">
        <is>
          <t>Oil, Gas &amp; Consumable Fuels</t>
        </is>
      </c>
      <c r="D281" t="n">
        <v>-2434</v>
      </c>
      <c r="E281" t="n">
        <v>50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-2384</v>
      </c>
    </row>
    <row r="282">
      <c r="A282" s="39" t="n">
        <v>45703</v>
      </c>
      <c r="B282" t="inlineStr">
        <is>
          <t>Feb 01-15, 2025</t>
        </is>
      </c>
      <c r="C282" t="inlineStr">
        <is>
          <t>Others</t>
        </is>
      </c>
      <c r="D282" t="n">
        <v>-116</v>
      </c>
      <c r="E282" t="n">
        <v>689</v>
      </c>
      <c r="F282" t="n">
        <v>-495</v>
      </c>
      <c r="G282" t="n">
        <v>0</v>
      </c>
      <c r="H282" t="n">
        <v>0</v>
      </c>
      <c r="I282" t="n">
        <v>-102</v>
      </c>
      <c r="J282" t="n">
        <v>206</v>
      </c>
      <c r="K282" t="n">
        <v>-1</v>
      </c>
      <c r="L282" t="n">
        <v>0</v>
      </c>
      <c r="M282" t="n">
        <v>122</v>
      </c>
      <c r="N282" t="n">
        <v>0</v>
      </c>
      <c r="O282" t="n">
        <v>303</v>
      </c>
    </row>
    <row r="283">
      <c r="A283" s="39" t="n">
        <v>45703</v>
      </c>
      <c r="B283" t="inlineStr">
        <is>
          <t>Feb 01-15, 2025</t>
        </is>
      </c>
      <c r="C283" t="inlineStr">
        <is>
          <t>Power</t>
        </is>
      </c>
      <c r="D283" t="n">
        <v>-1852</v>
      </c>
      <c r="E283" t="n">
        <v>-27</v>
      </c>
      <c r="F283" t="n">
        <v>-20</v>
      </c>
      <c r="G283" t="n">
        <v>0</v>
      </c>
      <c r="H283" t="n">
        <v>-6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-1905</v>
      </c>
    </row>
    <row r="284">
      <c r="A284" s="39" t="n">
        <v>45703</v>
      </c>
      <c r="B284" t="inlineStr">
        <is>
          <t>Feb 01-15, 2025</t>
        </is>
      </c>
      <c r="C284" t="inlineStr">
        <is>
          <t>Realty</t>
        </is>
      </c>
      <c r="D284" t="n">
        <v>-782</v>
      </c>
      <c r="E284" t="n">
        <v>0</v>
      </c>
      <c r="F284" t="n">
        <v>-180</v>
      </c>
      <c r="G284" t="n">
        <v>0</v>
      </c>
      <c r="H284" t="n">
        <v>-101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-1063</v>
      </c>
    </row>
    <row r="285">
      <c r="A285" s="39" t="n">
        <v>45703</v>
      </c>
      <c r="B285" t="inlineStr">
        <is>
          <t>Feb 01-15, 2025</t>
        </is>
      </c>
      <c r="C285" t="inlineStr">
        <is>
          <t>Services</t>
        </is>
      </c>
      <c r="D285" t="n">
        <v>267</v>
      </c>
      <c r="E285" t="n">
        <v>860</v>
      </c>
      <c r="F285" t="n">
        <v>0</v>
      </c>
      <c r="G285" t="n">
        <v>0</v>
      </c>
      <c r="H285" t="n">
        <v>-3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1124</v>
      </c>
    </row>
    <row r="286">
      <c r="A286" s="39" t="n">
        <v>45703</v>
      </c>
      <c r="B286" t="inlineStr">
        <is>
          <t>Feb 01-15, 2025</t>
        </is>
      </c>
      <c r="C286" t="inlineStr">
        <is>
          <t>Sovereign</t>
        </is>
      </c>
      <c r="D286" t="n">
        <v>0</v>
      </c>
      <c r="E286" t="n">
        <v>-2844</v>
      </c>
      <c r="F286" t="n">
        <v>52</v>
      </c>
      <c r="G286" t="n">
        <v>8928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6136</v>
      </c>
    </row>
    <row r="287">
      <c r="A287" s="39" t="n">
        <v>45703</v>
      </c>
      <c r="B287" t="inlineStr">
        <is>
          <t>Feb 01-15, 2025</t>
        </is>
      </c>
      <c r="C287" t="inlineStr">
        <is>
          <t>Telecommunication</t>
        </is>
      </c>
      <c r="D287" t="n">
        <v>2337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2337</v>
      </c>
    </row>
    <row r="288">
      <c r="A288" s="39" t="n">
        <v>45703</v>
      </c>
      <c r="B288" t="inlineStr">
        <is>
          <t>Feb 01-15, 2025</t>
        </is>
      </c>
      <c r="C288" t="inlineStr">
        <is>
          <t>Textiles</t>
        </is>
      </c>
      <c r="D288" t="n">
        <v>158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158</v>
      </c>
    </row>
    <row r="289">
      <c r="A289" s="39" t="n">
        <v>45703</v>
      </c>
      <c r="B289" t="inlineStr">
        <is>
          <t>Feb 01-15, 2025</t>
        </is>
      </c>
      <c r="C289" t="inlineStr">
        <is>
          <t>Utilities</t>
        </is>
      </c>
      <c r="D289" t="n">
        <v>-57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-57</v>
      </c>
    </row>
    <row r="290">
      <c r="A290" s="39" t="n">
        <v>45716</v>
      </c>
      <c r="B290" t="inlineStr">
        <is>
          <t>Feb 16-28, 2025</t>
        </is>
      </c>
      <c r="C290" t="inlineStr">
        <is>
          <t>Automobile and Auto Components</t>
        </is>
      </c>
      <c r="D290" t="n">
        <v>-3279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-3279</v>
      </c>
    </row>
    <row r="291">
      <c r="A291" s="39" t="n">
        <v>45716</v>
      </c>
      <c r="B291" t="inlineStr">
        <is>
          <t>Feb 16-28, 2025</t>
        </is>
      </c>
      <c r="C291" t="inlineStr">
        <is>
          <t>Capital Goods</t>
        </is>
      </c>
      <c r="D291" t="n">
        <v>-1258</v>
      </c>
      <c r="E291" t="n">
        <v>-4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-1262</v>
      </c>
    </row>
    <row r="292">
      <c r="A292" s="39" t="n">
        <v>45716</v>
      </c>
      <c r="B292" t="inlineStr">
        <is>
          <t>Feb 16-28, 2025</t>
        </is>
      </c>
      <c r="C292" t="inlineStr">
        <is>
          <t>Chemicals</t>
        </is>
      </c>
      <c r="D292" t="n">
        <v>92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92</v>
      </c>
    </row>
    <row r="293">
      <c r="A293" s="39" t="n">
        <v>45716</v>
      </c>
      <c r="B293" t="inlineStr">
        <is>
          <t>Feb 16-28, 2025</t>
        </is>
      </c>
      <c r="C293" t="inlineStr">
        <is>
          <t>Construction</t>
        </is>
      </c>
      <c r="D293" t="n">
        <v>-1465</v>
      </c>
      <c r="E293" t="n">
        <v>0</v>
      </c>
      <c r="F293" t="n">
        <v>0</v>
      </c>
      <c r="G293" t="n">
        <v>0</v>
      </c>
      <c r="H293" t="n">
        <v>-1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-1466</v>
      </c>
    </row>
    <row r="294">
      <c r="A294" s="39" t="n">
        <v>45716</v>
      </c>
      <c r="B294" t="inlineStr">
        <is>
          <t>Feb 16-28, 2025</t>
        </is>
      </c>
      <c r="C294" t="inlineStr">
        <is>
          <t>Construction Materials</t>
        </is>
      </c>
      <c r="D294" t="n">
        <v>-1820</v>
      </c>
      <c r="E294" t="n">
        <v>-25</v>
      </c>
      <c r="F294" t="n">
        <v>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-1820</v>
      </c>
    </row>
    <row r="295">
      <c r="A295" s="39" t="n">
        <v>45716</v>
      </c>
      <c r="B295" t="inlineStr">
        <is>
          <t>Feb 16-28, 2025</t>
        </is>
      </c>
      <c r="C295" t="inlineStr">
        <is>
          <t>Consumer Durables</t>
        </is>
      </c>
      <c r="D295" t="n">
        <v>-1241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-1241</v>
      </c>
    </row>
    <row r="296">
      <c r="A296" s="39" t="n">
        <v>45716</v>
      </c>
      <c r="B296" t="inlineStr">
        <is>
          <t>Feb 16-28, 2025</t>
        </is>
      </c>
      <c r="C296" t="inlineStr">
        <is>
          <t>Consumer Services</t>
        </is>
      </c>
      <c r="D296" t="n">
        <v>-595</v>
      </c>
      <c r="E296" t="n">
        <v>0</v>
      </c>
      <c r="F296" t="n">
        <v>-683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-1278</v>
      </c>
    </row>
    <row r="297">
      <c r="A297" s="39" t="n">
        <v>45716</v>
      </c>
      <c r="B297" t="inlineStr">
        <is>
          <t>Feb 16-28, 2025</t>
        </is>
      </c>
      <c r="C297" t="inlineStr">
        <is>
          <t>Diversified</t>
        </is>
      </c>
      <c r="D297" t="n">
        <v>-249</v>
      </c>
      <c r="E297" t="n">
        <v>-15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-264</v>
      </c>
    </row>
    <row r="298">
      <c r="A298" s="39" t="n">
        <v>45716</v>
      </c>
      <c r="B298" t="inlineStr">
        <is>
          <t>Feb 16-28, 2025</t>
        </is>
      </c>
      <c r="C298" t="inlineStr">
        <is>
          <t>Fast Moving Consumer Goods</t>
        </is>
      </c>
      <c r="D298" t="n">
        <v>-2568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-2568</v>
      </c>
    </row>
    <row r="299">
      <c r="A299" s="39" t="n">
        <v>45716</v>
      </c>
      <c r="B299" t="inlineStr">
        <is>
          <t>Feb 16-28, 2025</t>
        </is>
      </c>
      <c r="C299" t="inlineStr">
        <is>
          <t>Financial Services</t>
        </is>
      </c>
      <c r="D299" t="n">
        <v>-1647</v>
      </c>
      <c r="E299" t="n">
        <v>391</v>
      </c>
      <c r="F299" t="n">
        <v>374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59</v>
      </c>
      <c r="N299" t="n">
        <v>0</v>
      </c>
      <c r="O299" t="n">
        <v>-823</v>
      </c>
    </row>
    <row r="300">
      <c r="A300" s="39" t="n">
        <v>45716</v>
      </c>
      <c r="B300" t="inlineStr">
        <is>
          <t>Feb 16-28, 2025</t>
        </is>
      </c>
      <c r="C300" t="inlineStr">
        <is>
          <t>Forest Materials</t>
        </is>
      </c>
      <c r="D300" t="n">
        <v>-28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-28</v>
      </c>
    </row>
    <row r="301">
      <c r="A301" s="39" t="n">
        <v>45716</v>
      </c>
      <c r="B301" t="inlineStr">
        <is>
          <t>Feb 16-28, 2025</t>
        </is>
      </c>
      <c r="C301" t="inlineStr">
        <is>
          <t>Healthcare</t>
        </is>
      </c>
      <c r="D301" t="n">
        <v>-2996</v>
      </c>
      <c r="E301" t="n">
        <v>0</v>
      </c>
      <c r="F301" t="n">
        <v>150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-2846</v>
      </c>
    </row>
    <row r="302">
      <c r="A302" s="39" t="n">
        <v>45716</v>
      </c>
      <c r="B302" t="inlineStr">
        <is>
          <t>Feb 16-28, 2025</t>
        </is>
      </c>
      <c r="C302" t="inlineStr">
        <is>
          <t>Information Technology</t>
        </is>
      </c>
      <c r="D302" t="n">
        <v>112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112</v>
      </c>
    </row>
    <row r="303">
      <c r="A303" s="39" t="n">
        <v>45716</v>
      </c>
      <c r="B303" t="inlineStr">
        <is>
          <t>Feb 16-28, 2025</t>
        </is>
      </c>
      <c r="C303" t="inlineStr">
        <is>
          <t>Media, Entertainment &amp; Publication</t>
        </is>
      </c>
      <c r="D303" t="n">
        <v>34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34</v>
      </c>
    </row>
    <row r="304">
      <c r="A304" s="39" t="n">
        <v>45716</v>
      </c>
      <c r="B304" t="inlineStr">
        <is>
          <t>Feb 16-28, 2025</t>
        </is>
      </c>
      <c r="C304" t="inlineStr">
        <is>
          <t>Metals &amp; Mining</t>
        </is>
      </c>
      <c r="D304" t="n">
        <v>-606</v>
      </c>
      <c r="E304" t="n">
        <v>12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-594</v>
      </c>
    </row>
    <row r="305">
      <c r="A305" s="39" t="n">
        <v>45716</v>
      </c>
      <c r="B305" t="inlineStr">
        <is>
          <t>Feb 16-28, 2025</t>
        </is>
      </c>
      <c r="C305" t="inlineStr">
        <is>
          <t>Oil, Gas &amp; Consumable Fuels</t>
        </is>
      </c>
      <c r="D305" t="n">
        <v>-943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-943</v>
      </c>
    </row>
    <row r="306">
      <c r="A306" s="39" t="n">
        <v>45716</v>
      </c>
      <c r="B306" t="inlineStr">
        <is>
          <t>Feb 16-28, 2025</t>
        </is>
      </c>
      <c r="C306" t="inlineStr">
        <is>
          <t>Others</t>
        </is>
      </c>
      <c r="D306" t="n">
        <v>1362</v>
      </c>
      <c r="E306" t="n">
        <v>-381</v>
      </c>
      <c r="F306" t="n">
        <v>919</v>
      </c>
      <c r="G306" t="n">
        <v>0</v>
      </c>
      <c r="H306" t="n">
        <v>0</v>
      </c>
      <c r="I306" t="n">
        <v>21</v>
      </c>
      <c r="J306" t="n">
        <v>161</v>
      </c>
      <c r="K306" t="n">
        <v>7</v>
      </c>
      <c r="L306" t="n">
        <v>0</v>
      </c>
      <c r="M306" t="n">
        <v>-397</v>
      </c>
      <c r="N306" t="n">
        <v>0</v>
      </c>
      <c r="O306" t="n">
        <v>1692</v>
      </c>
    </row>
    <row r="307">
      <c r="A307" s="39" t="n">
        <v>45716</v>
      </c>
      <c r="B307" t="inlineStr">
        <is>
          <t>Feb 16-28, 2025</t>
        </is>
      </c>
      <c r="C307" t="inlineStr">
        <is>
          <t>Power</t>
        </is>
      </c>
      <c r="D307" t="n">
        <v>-1234</v>
      </c>
      <c r="E307" t="n">
        <v>-26</v>
      </c>
      <c r="F307" t="n">
        <v>0</v>
      </c>
      <c r="G307" t="n">
        <v>0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-1258</v>
      </c>
    </row>
    <row r="308">
      <c r="A308" s="39" t="n">
        <v>45716</v>
      </c>
      <c r="B308" t="inlineStr">
        <is>
          <t>Feb 16-28, 2025</t>
        </is>
      </c>
      <c r="C308" t="inlineStr">
        <is>
          <t>Realty</t>
        </is>
      </c>
      <c r="D308" t="n">
        <v>-407</v>
      </c>
      <c r="E308" t="n">
        <v>-28</v>
      </c>
      <c r="F308" t="n">
        <v>0</v>
      </c>
      <c r="G308" t="n">
        <v>0</v>
      </c>
      <c r="H308" t="n">
        <v>-207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-642</v>
      </c>
    </row>
    <row r="309">
      <c r="A309" s="39" t="n">
        <v>45716</v>
      </c>
      <c r="B309" t="inlineStr">
        <is>
          <t>Feb 16-28, 2025</t>
        </is>
      </c>
      <c r="C309" t="inlineStr">
        <is>
          <t>Services</t>
        </is>
      </c>
      <c r="D309" t="n">
        <v>-84</v>
      </c>
      <c r="E309" t="n">
        <v>0</v>
      </c>
      <c r="F309" t="n">
        <v>1100</v>
      </c>
      <c r="G309" t="n">
        <v>0</v>
      </c>
      <c r="H309" t="n">
        <v>-3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1013</v>
      </c>
    </row>
    <row r="310">
      <c r="A310" s="39" t="n">
        <v>45716</v>
      </c>
      <c r="B310" t="inlineStr">
        <is>
          <t>Feb 16-28, 2025</t>
        </is>
      </c>
      <c r="C310" t="inlineStr">
        <is>
          <t>Sovereign</t>
        </is>
      </c>
      <c r="D310" t="n">
        <v>0</v>
      </c>
      <c r="E310" t="n">
        <v>-4130</v>
      </c>
      <c r="F310" t="n">
        <v>-148</v>
      </c>
      <c r="G310" t="n">
        <v>5566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1288</v>
      </c>
    </row>
    <row r="311">
      <c r="A311" s="39" t="n">
        <v>45716</v>
      </c>
      <c r="B311" t="inlineStr">
        <is>
          <t>Feb 16-28, 2025</t>
        </is>
      </c>
      <c r="C311" t="inlineStr">
        <is>
          <t>Telecommunication</t>
        </is>
      </c>
      <c r="D311" t="n">
        <v>5661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5661</v>
      </c>
    </row>
    <row r="312">
      <c r="A312" s="39" t="n">
        <v>45716</v>
      </c>
      <c r="B312" t="inlineStr">
        <is>
          <t>Feb 16-28, 2025</t>
        </is>
      </c>
      <c r="C312" t="inlineStr">
        <is>
          <t>Textiles</t>
        </is>
      </c>
      <c r="D312" t="n">
        <v>-125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-125</v>
      </c>
    </row>
    <row r="313">
      <c r="A313" s="39" t="n">
        <v>45716</v>
      </c>
      <c r="B313" t="inlineStr">
        <is>
          <t>Feb 16-28, 2025</t>
        </is>
      </c>
      <c r="C313" t="inlineStr">
        <is>
          <t>Utilities</t>
        </is>
      </c>
      <c r="D313" t="n">
        <v>-19</v>
      </c>
      <c r="E313" t="n">
        <v>-6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-25</v>
      </c>
    </row>
    <row r="314">
      <c r="A314" s="39" t="n">
        <v>45731</v>
      </c>
      <c r="B314" t="inlineStr">
        <is>
          <t>Mar 01-15, 2025</t>
        </is>
      </c>
      <c r="C314" t="inlineStr">
        <is>
          <t>Automobile and Auto Components</t>
        </is>
      </c>
      <c r="D314" t="n">
        <v>-3640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-3640</v>
      </c>
    </row>
    <row r="315">
      <c r="A315" s="39" t="n">
        <v>45731</v>
      </c>
      <c r="B315" t="inlineStr">
        <is>
          <t>Mar 01-15, 2025</t>
        </is>
      </c>
      <c r="C315" t="inlineStr">
        <is>
          <t>Capital Goods</t>
        </is>
      </c>
      <c r="D315" t="n">
        <v>-1912</v>
      </c>
      <c r="E315" t="n">
        <v>-21</v>
      </c>
      <c r="F315" t="n">
        <v>-1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-1934</v>
      </c>
    </row>
    <row r="316">
      <c r="A316" s="39" t="n">
        <v>45731</v>
      </c>
      <c r="B316" t="inlineStr">
        <is>
          <t>Mar 01-15, 2025</t>
        </is>
      </c>
      <c r="C316" t="inlineStr">
        <is>
          <t>Chemicals</t>
        </is>
      </c>
      <c r="D316" t="n">
        <v>-129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-129</v>
      </c>
    </row>
    <row r="317">
      <c r="A317" s="39" t="n">
        <v>45731</v>
      </c>
      <c r="B317" t="inlineStr">
        <is>
          <t>Mar 01-15, 2025</t>
        </is>
      </c>
      <c r="C317" t="inlineStr">
        <is>
          <t>Construction</t>
        </is>
      </c>
      <c r="D317" t="n">
        <v>-864</v>
      </c>
      <c r="E317" t="n">
        <v>-18</v>
      </c>
      <c r="F317" t="n">
        <v>0</v>
      </c>
      <c r="G317" t="n">
        <v>0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-880</v>
      </c>
    </row>
    <row r="318">
      <c r="A318" s="39" t="n">
        <v>45731</v>
      </c>
      <c r="B318" t="inlineStr">
        <is>
          <t>Mar 01-15, 2025</t>
        </is>
      </c>
      <c r="C318" t="inlineStr">
        <is>
          <t>Construction Materials</t>
        </is>
      </c>
      <c r="D318" t="n">
        <v>-1465</v>
      </c>
      <c r="E318" t="n">
        <v>0</v>
      </c>
      <c r="F318" t="n">
        <v>-335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-1800</v>
      </c>
    </row>
    <row r="319">
      <c r="A319" s="39" t="n">
        <v>45731</v>
      </c>
      <c r="B319" t="inlineStr">
        <is>
          <t>Mar 01-15, 2025</t>
        </is>
      </c>
      <c r="C319" t="inlineStr">
        <is>
          <t>Consumer Durables</t>
        </is>
      </c>
      <c r="D319" t="n">
        <v>-1566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-1566</v>
      </c>
    </row>
    <row r="320">
      <c r="A320" s="39" t="n">
        <v>45731</v>
      </c>
      <c r="B320" t="inlineStr">
        <is>
          <t>Mar 01-15, 2025</t>
        </is>
      </c>
      <c r="C320" t="inlineStr">
        <is>
          <t>Consumer Services</t>
        </is>
      </c>
      <c r="D320" t="n">
        <v>-1900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-1900</v>
      </c>
    </row>
    <row r="321">
      <c r="A321" s="39" t="n">
        <v>45731</v>
      </c>
      <c r="B321" t="inlineStr">
        <is>
          <t>Mar 01-15, 2025</t>
        </is>
      </c>
      <c r="C321" t="inlineStr">
        <is>
          <t>Diversified</t>
        </is>
      </c>
      <c r="D321" t="n">
        <v>-279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-279</v>
      </c>
    </row>
    <row r="322">
      <c r="A322" s="39" t="n">
        <v>45731</v>
      </c>
      <c r="B322" t="inlineStr">
        <is>
          <t>Mar 01-15, 2025</t>
        </is>
      </c>
      <c r="C322" t="inlineStr">
        <is>
          <t>Fast Moving Consumer Goods</t>
        </is>
      </c>
      <c r="D322" t="n">
        <v>-5106</v>
      </c>
      <c r="E322" t="n">
        <v>-1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-5107</v>
      </c>
    </row>
    <row r="323">
      <c r="A323" s="39" t="n">
        <v>45731</v>
      </c>
      <c r="B323" t="inlineStr">
        <is>
          <t>Mar 01-15, 2025</t>
        </is>
      </c>
      <c r="C323" t="inlineStr">
        <is>
          <t>Financial Services</t>
        </is>
      </c>
      <c r="D323" t="n">
        <v>-3311</v>
      </c>
      <c r="E323" t="n">
        <v>2172</v>
      </c>
      <c r="F323" t="n">
        <v>661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151</v>
      </c>
      <c r="N323" t="n">
        <v>0</v>
      </c>
      <c r="O323" t="n">
        <v>-327</v>
      </c>
    </row>
    <row r="324">
      <c r="A324" s="39" t="n">
        <v>45731</v>
      </c>
      <c r="B324" t="inlineStr">
        <is>
          <t>Mar 01-15, 2025</t>
        </is>
      </c>
      <c r="C324" t="inlineStr">
        <is>
          <t>Forest Materials</t>
        </is>
      </c>
      <c r="D324" t="n">
        <v>-22</v>
      </c>
      <c r="E324" t="n">
        <v>78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56</v>
      </c>
    </row>
    <row r="325">
      <c r="A325" s="39" t="n">
        <v>45731</v>
      </c>
      <c r="B325" t="inlineStr">
        <is>
          <t>Mar 01-15, 2025</t>
        </is>
      </c>
      <c r="C325" t="inlineStr">
        <is>
          <t>Healthcare</t>
        </is>
      </c>
      <c r="D325" t="n">
        <v>-2049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-2049</v>
      </c>
    </row>
    <row r="326">
      <c r="A326" s="39" t="n">
        <v>45731</v>
      </c>
      <c r="B326" t="inlineStr">
        <is>
          <t>Mar 01-15, 2025</t>
        </is>
      </c>
      <c r="C326" t="inlineStr">
        <is>
          <t>Information Technology</t>
        </is>
      </c>
      <c r="D326" t="n">
        <v>-6934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-6934</v>
      </c>
    </row>
    <row r="327">
      <c r="A327" s="39" t="n">
        <v>45731</v>
      </c>
      <c r="B327" t="inlineStr">
        <is>
          <t>Mar 01-15, 2025</t>
        </is>
      </c>
      <c r="C327" t="inlineStr">
        <is>
          <t>Media, Entertainment &amp; Publication</t>
        </is>
      </c>
      <c r="D327" t="n">
        <v>143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143</v>
      </c>
    </row>
    <row r="328">
      <c r="A328" s="39" t="n">
        <v>45731</v>
      </c>
      <c r="B328" t="inlineStr">
        <is>
          <t>Mar 01-15, 2025</t>
        </is>
      </c>
      <c r="C328" t="inlineStr">
        <is>
          <t>Metals &amp; Mining</t>
        </is>
      </c>
      <c r="D328" t="n">
        <v>1179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1179</v>
      </c>
    </row>
    <row r="329">
      <c r="A329" s="39" t="n">
        <v>45731</v>
      </c>
      <c r="B329" t="inlineStr">
        <is>
          <t>Mar 01-15, 2025</t>
        </is>
      </c>
      <c r="C329" t="inlineStr">
        <is>
          <t>Oil, Gas &amp; Consumable Fuels</t>
        </is>
      </c>
      <c r="D329" t="n">
        <v>-970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-970</v>
      </c>
    </row>
    <row r="330">
      <c r="A330" s="39" t="n">
        <v>45731</v>
      </c>
      <c r="B330" t="inlineStr">
        <is>
          <t>Mar 01-15, 2025</t>
        </is>
      </c>
      <c r="C330" t="inlineStr">
        <is>
          <t>Others</t>
        </is>
      </c>
      <c r="D330" t="n">
        <v>771</v>
      </c>
      <c r="E330" t="n">
        <v>3105</v>
      </c>
      <c r="F330" t="n">
        <v>-495</v>
      </c>
      <c r="G330" t="n">
        <v>0</v>
      </c>
      <c r="H330" t="n">
        <v>0</v>
      </c>
      <c r="I330" t="n">
        <v>27</v>
      </c>
      <c r="J330" t="n">
        <v>-538</v>
      </c>
      <c r="K330" t="n">
        <v>-2</v>
      </c>
      <c r="L330" t="n">
        <v>0</v>
      </c>
      <c r="M330" t="n">
        <v>14</v>
      </c>
      <c r="N330" t="n">
        <v>0</v>
      </c>
      <c r="O330" t="n">
        <v>2882</v>
      </c>
    </row>
    <row r="331">
      <c r="A331" s="39" t="n">
        <v>45731</v>
      </c>
      <c r="B331" t="inlineStr">
        <is>
          <t>Mar 01-15, 2025</t>
        </is>
      </c>
      <c r="C331" t="inlineStr">
        <is>
          <t>Power</t>
        </is>
      </c>
      <c r="D331" t="n">
        <v>-1867</v>
      </c>
      <c r="E331" t="n">
        <v>52</v>
      </c>
      <c r="F331" t="n">
        <v>-20</v>
      </c>
      <c r="G331" t="n">
        <v>0</v>
      </c>
      <c r="H331" t="n">
        <v>-91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-1926</v>
      </c>
    </row>
    <row r="332">
      <c r="A332" s="39" t="n">
        <v>45731</v>
      </c>
      <c r="B332" t="inlineStr">
        <is>
          <t>Mar 01-15, 2025</t>
        </is>
      </c>
      <c r="C332" t="inlineStr">
        <is>
          <t>Realty</t>
        </is>
      </c>
      <c r="D332" t="n">
        <v>-27</v>
      </c>
      <c r="E332" t="n">
        <v>0</v>
      </c>
      <c r="F332" t="n">
        <v>0</v>
      </c>
      <c r="G332" t="n">
        <v>0</v>
      </c>
      <c r="H332" t="n">
        <v>-61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-88</v>
      </c>
    </row>
    <row r="333">
      <c r="A333" s="39" t="n">
        <v>45731</v>
      </c>
      <c r="B333" t="inlineStr">
        <is>
          <t>Mar 01-15, 2025</t>
        </is>
      </c>
      <c r="C333" t="inlineStr">
        <is>
          <t>Services</t>
        </is>
      </c>
      <c r="D333" t="n">
        <v>305</v>
      </c>
      <c r="E333" t="n">
        <v>912</v>
      </c>
      <c r="F333" t="n">
        <v>-432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785</v>
      </c>
    </row>
    <row r="334">
      <c r="A334" s="39" t="n">
        <v>45731</v>
      </c>
      <c r="B334" t="inlineStr">
        <is>
          <t>Mar 01-15, 2025</t>
        </is>
      </c>
      <c r="C334" t="inlineStr">
        <is>
          <t>Sovereign</t>
        </is>
      </c>
      <c r="D334" t="n">
        <v>0</v>
      </c>
      <c r="E334" t="n">
        <v>1076</v>
      </c>
      <c r="F334" t="n">
        <v>296</v>
      </c>
      <c r="G334" t="n">
        <v>16673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18045</v>
      </c>
    </row>
    <row r="335">
      <c r="A335" s="39" t="n">
        <v>45731</v>
      </c>
      <c r="B335" t="inlineStr">
        <is>
          <t>Mar 01-15, 2025</t>
        </is>
      </c>
      <c r="C335" t="inlineStr">
        <is>
          <t>Telecommunication</t>
        </is>
      </c>
      <c r="D335" t="n">
        <v>-340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-340</v>
      </c>
    </row>
    <row r="336">
      <c r="A336" s="39" t="n">
        <v>45731</v>
      </c>
      <c r="B336" t="inlineStr">
        <is>
          <t>Mar 01-15, 2025</t>
        </is>
      </c>
      <c r="C336" t="inlineStr">
        <is>
          <t>Textiles</t>
        </is>
      </c>
      <c r="D336" t="n">
        <v>-23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-23</v>
      </c>
    </row>
    <row r="337">
      <c r="A337" s="39" t="n">
        <v>45731</v>
      </c>
      <c r="B337" t="inlineStr">
        <is>
          <t>Mar 01-15, 2025</t>
        </is>
      </c>
      <c r="C337" t="inlineStr">
        <is>
          <t>Utilities</t>
        </is>
      </c>
      <c r="D337" t="n">
        <v>-7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-7</v>
      </c>
    </row>
    <row r="338">
      <c r="A338" s="39" t="n">
        <v>45747</v>
      </c>
      <c r="B338" t="inlineStr">
        <is>
          <t>Mar 16-31, 2025</t>
        </is>
      </c>
      <c r="C338" t="inlineStr">
        <is>
          <t>Automobile and Auto Components</t>
        </is>
      </c>
      <c r="D338" t="n">
        <v>776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776</v>
      </c>
    </row>
    <row r="339">
      <c r="A339" s="39" t="n">
        <v>45747</v>
      </c>
      <c r="B339" t="inlineStr">
        <is>
          <t>Mar 16-31, 2025</t>
        </is>
      </c>
      <c r="C339" t="inlineStr">
        <is>
          <t>Capital Goods</t>
        </is>
      </c>
      <c r="D339" t="n">
        <v>1613</v>
      </c>
      <c r="E339" t="n">
        <v>-25</v>
      </c>
      <c r="F339" t="n">
        <v>-5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1583</v>
      </c>
    </row>
    <row r="340">
      <c r="A340" s="39" t="n">
        <v>45747</v>
      </c>
      <c r="B340" t="inlineStr">
        <is>
          <t>Mar 16-31, 2025</t>
        </is>
      </c>
      <c r="C340" t="inlineStr">
        <is>
          <t>Chemicals</t>
        </is>
      </c>
      <c r="D340" t="n">
        <v>620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620</v>
      </c>
    </row>
    <row r="341">
      <c r="A341" s="39" t="n">
        <v>45747</v>
      </c>
      <c r="B341" t="inlineStr">
        <is>
          <t>Mar 16-31, 2025</t>
        </is>
      </c>
      <c r="C341" t="inlineStr">
        <is>
          <t>Construction</t>
        </is>
      </c>
      <c r="D341" t="n">
        <v>615</v>
      </c>
      <c r="E341" t="n">
        <v>0</v>
      </c>
      <c r="F341" t="n">
        <v>0</v>
      </c>
      <c r="G341" t="n">
        <v>0</v>
      </c>
      <c r="H341" t="n">
        <v>-1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614</v>
      </c>
    </row>
    <row r="342">
      <c r="A342" s="39" t="n">
        <v>45747</v>
      </c>
      <c r="B342" t="inlineStr">
        <is>
          <t>Mar 16-31, 2025</t>
        </is>
      </c>
      <c r="C342" t="inlineStr">
        <is>
          <t>Construction Materials</t>
        </is>
      </c>
      <c r="D342" t="n">
        <v>-132</v>
      </c>
      <c r="E342" t="n">
        <v>100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-32</v>
      </c>
    </row>
    <row r="343">
      <c r="A343" s="39" t="n">
        <v>45747</v>
      </c>
      <c r="B343" t="inlineStr">
        <is>
          <t>Mar 16-31, 2025</t>
        </is>
      </c>
      <c r="C343" t="inlineStr">
        <is>
          <t>Consumer Durables</t>
        </is>
      </c>
      <c r="D343" t="n">
        <v>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48</v>
      </c>
    </row>
    <row r="344">
      <c r="A344" s="39" t="n">
        <v>45747</v>
      </c>
      <c r="B344" t="inlineStr">
        <is>
          <t>Mar 16-31, 2025</t>
        </is>
      </c>
      <c r="C344" t="inlineStr">
        <is>
          <t>Consumer Services</t>
        </is>
      </c>
      <c r="D344" t="n">
        <v>-1158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-1158</v>
      </c>
    </row>
    <row r="345">
      <c r="A345" s="39" t="n">
        <v>45747</v>
      </c>
      <c r="B345" t="inlineStr">
        <is>
          <t>Mar 16-31, 2025</t>
        </is>
      </c>
      <c r="C345" t="inlineStr">
        <is>
          <t>Diversified</t>
        </is>
      </c>
      <c r="D345" t="n">
        <v>-38</v>
      </c>
      <c r="E345" t="n">
        <v>-111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-149</v>
      </c>
    </row>
    <row r="346">
      <c r="A346" s="39" t="n">
        <v>45747</v>
      </c>
      <c r="B346" t="inlineStr">
        <is>
          <t>Mar 16-31, 2025</t>
        </is>
      </c>
      <c r="C346" t="inlineStr">
        <is>
          <t>Fast Moving Consumer Goods</t>
        </is>
      </c>
      <c r="D346" t="n">
        <v>-487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-487</v>
      </c>
    </row>
    <row r="347">
      <c r="A347" s="39" t="n">
        <v>45747</v>
      </c>
      <c r="B347" t="inlineStr">
        <is>
          <t>Mar 16-31, 2025</t>
        </is>
      </c>
      <c r="C347" t="inlineStr">
        <is>
          <t>Financial Services</t>
        </is>
      </c>
      <c r="D347" t="n">
        <v>17585</v>
      </c>
      <c r="E347" t="n">
        <v>2000</v>
      </c>
      <c r="F347" t="n">
        <v>430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7</v>
      </c>
      <c r="N347" t="n">
        <v>0</v>
      </c>
      <c r="O347" t="n">
        <v>20022</v>
      </c>
    </row>
    <row r="348">
      <c r="A348" s="39" t="n">
        <v>45747</v>
      </c>
      <c r="B348" t="inlineStr">
        <is>
          <t>Mar 16-31, 2025</t>
        </is>
      </c>
      <c r="C348" t="inlineStr">
        <is>
          <t>Forest Materials</t>
        </is>
      </c>
      <c r="D348" t="n">
        <v>40</v>
      </c>
      <c r="E348" t="n">
        <v>-33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7</v>
      </c>
    </row>
    <row r="349">
      <c r="A349" s="39" t="n">
        <v>45747</v>
      </c>
      <c r="B349" t="inlineStr">
        <is>
          <t>Mar 16-31, 2025</t>
        </is>
      </c>
      <c r="C349" t="inlineStr">
        <is>
          <t>Healthcare</t>
        </is>
      </c>
      <c r="D349" t="n">
        <v>2138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2138</v>
      </c>
    </row>
    <row r="350">
      <c r="A350" s="39" t="n">
        <v>45747</v>
      </c>
      <c r="B350" t="inlineStr">
        <is>
          <t>Mar 16-31, 2025</t>
        </is>
      </c>
      <c r="C350" t="inlineStr">
        <is>
          <t>Information Technology</t>
        </is>
      </c>
      <c r="D350" t="n">
        <v>-1517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-1517</v>
      </c>
    </row>
    <row r="351">
      <c r="A351" s="39" t="n">
        <v>45747</v>
      </c>
      <c r="B351" t="inlineStr">
        <is>
          <t>Mar 16-31, 2025</t>
        </is>
      </c>
      <c r="C351" t="inlineStr">
        <is>
          <t>Media, Entertainment &amp; Publication</t>
        </is>
      </c>
      <c r="D351" t="n">
        <v>303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303</v>
      </c>
    </row>
    <row r="352">
      <c r="A352" s="39" t="n">
        <v>45747</v>
      </c>
      <c r="B352" t="inlineStr">
        <is>
          <t>Mar 16-31, 2025</t>
        </is>
      </c>
      <c r="C352" t="inlineStr">
        <is>
          <t>Metals &amp; Mining</t>
        </is>
      </c>
      <c r="D352" t="n">
        <v>722</v>
      </c>
      <c r="E352" t="n">
        <v>-55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667</v>
      </c>
    </row>
    <row r="353">
      <c r="A353" s="39" t="n">
        <v>45747</v>
      </c>
      <c r="B353" t="inlineStr">
        <is>
          <t>Mar 16-31, 2025</t>
        </is>
      </c>
      <c r="C353" t="inlineStr">
        <is>
          <t>Oil, Gas &amp; Consumable Fuels</t>
        </is>
      </c>
      <c r="D353" t="n">
        <v>-2449</v>
      </c>
      <c r="E353" t="n">
        <v>150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-2299</v>
      </c>
    </row>
    <row r="354">
      <c r="A354" s="39" t="n">
        <v>45747</v>
      </c>
      <c r="B354" t="inlineStr">
        <is>
          <t>Mar 16-31, 2025</t>
        </is>
      </c>
      <c r="C354" t="inlineStr">
        <is>
          <t>Others</t>
        </is>
      </c>
      <c r="D354" t="n">
        <v>1466</v>
      </c>
      <c r="E354" t="n">
        <v>2234</v>
      </c>
      <c r="F354" t="n">
        <v>702</v>
      </c>
      <c r="G354" t="n">
        <v>0</v>
      </c>
      <c r="H354" t="n">
        <v>0</v>
      </c>
      <c r="I354" t="n">
        <v>-96</v>
      </c>
      <c r="J354" t="n">
        <v>-338</v>
      </c>
      <c r="K354" t="n">
        <v>-55</v>
      </c>
      <c r="L354" t="n">
        <v>0</v>
      </c>
      <c r="M354" t="n">
        <v>11</v>
      </c>
      <c r="N354" t="n">
        <v>0</v>
      </c>
      <c r="O354" t="n">
        <v>3924</v>
      </c>
    </row>
    <row r="355">
      <c r="A355" s="39" t="n">
        <v>45747</v>
      </c>
      <c r="B355" t="inlineStr">
        <is>
          <t>Mar 16-31, 2025</t>
        </is>
      </c>
      <c r="C355" t="inlineStr">
        <is>
          <t>Power</t>
        </is>
      </c>
      <c r="D355" t="n">
        <v>1627</v>
      </c>
      <c r="E355" t="n">
        <v>34</v>
      </c>
      <c r="F355" t="n">
        <v>0</v>
      </c>
      <c r="G355" t="n">
        <v>0</v>
      </c>
      <c r="H355" t="n">
        <v>-8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1653</v>
      </c>
    </row>
    <row r="356">
      <c r="A356" s="39" t="n">
        <v>45747</v>
      </c>
      <c r="B356" t="inlineStr">
        <is>
          <t>Mar 16-31, 2025</t>
        </is>
      </c>
      <c r="C356" t="inlineStr">
        <is>
          <t>Realty</t>
        </is>
      </c>
      <c r="D356" t="n">
        <v>612</v>
      </c>
      <c r="E356" t="n">
        <v>-2</v>
      </c>
      <c r="F356" t="n">
        <v>0</v>
      </c>
      <c r="G356" t="n">
        <v>0</v>
      </c>
      <c r="H356" t="n">
        <v>147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757</v>
      </c>
    </row>
    <row r="357">
      <c r="A357" s="39" t="n">
        <v>45747</v>
      </c>
      <c r="B357" t="inlineStr">
        <is>
          <t>Mar 16-31, 2025</t>
        </is>
      </c>
      <c r="C357" t="inlineStr">
        <is>
          <t>Services</t>
        </is>
      </c>
      <c r="D357" t="n">
        <v>273</v>
      </c>
      <c r="E357" t="n">
        <v>0</v>
      </c>
      <c r="F357" t="n">
        <v>0</v>
      </c>
      <c r="G357" t="n">
        <v>0</v>
      </c>
      <c r="H357" t="n">
        <v>-4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269</v>
      </c>
    </row>
    <row r="358">
      <c r="A358" s="39" t="n">
        <v>45747</v>
      </c>
      <c r="B358" t="inlineStr">
        <is>
          <t>Mar 16-31, 2025</t>
        </is>
      </c>
      <c r="C358" t="inlineStr">
        <is>
          <t>Sovereign</t>
        </is>
      </c>
      <c r="D358" t="n">
        <v>0</v>
      </c>
      <c r="E358" t="n">
        <v>-1936</v>
      </c>
      <c r="F358" t="n">
        <v>-1766</v>
      </c>
      <c r="G358" t="n">
        <v>12371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8669</v>
      </c>
    </row>
    <row r="359">
      <c r="A359" s="39" t="n">
        <v>45747</v>
      </c>
      <c r="B359" t="inlineStr">
        <is>
          <t>Mar 16-31, 2025</t>
        </is>
      </c>
      <c r="C359" t="inlineStr">
        <is>
          <t>Telecommunication</t>
        </is>
      </c>
      <c r="D359" t="n">
        <v>3413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3413</v>
      </c>
    </row>
    <row r="360">
      <c r="A360" s="39" t="n">
        <v>45747</v>
      </c>
      <c r="B360" t="inlineStr">
        <is>
          <t>Mar 16-31, 2025</t>
        </is>
      </c>
      <c r="C360" t="inlineStr">
        <is>
          <t>Textiles</t>
        </is>
      </c>
      <c r="D360" t="n">
        <v>-53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-53</v>
      </c>
    </row>
    <row r="361">
      <c r="A361" s="39" t="n">
        <v>45747</v>
      </c>
      <c r="B361" t="inlineStr">
        <is>
          <t>Mar 16-31, 2025</t>
        </is>
      </c>
      <c r="C361" t="inlineStr">
        <is>
          <t>Utilities</t>
        </is>
      </c>
      <c r="D361" t="n">
        <v>26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26</v>
      </c>
    </row>
    <row r="362">
      <c r="A362" s="39" t="n">
        <v>45762</v>
      </c>
      <c r="B362" t="inlineStr">
        <is>
          <t>Apr 01-15, 2025</t>
        </is>
      </c>
      <c r="C362" t="inlineStr">
        <is>
          <t>Automobile and Auto Components</t>
        </is>
      </c>
      <c r="D362" t="n">
        <v>-2562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-2562</v>
      </c>
    </row>
    <row r="363">
      <c r="A363" s="39" t="n">
        <v>45762</v>
      </c>
      <c r="B363" t="inlineStr">
        <is>
          <t>Apr 01-15, 2025</t>
        </is>
      </c>
      <c r="C363" t="inlineStr">
        <is>
          <t>Capital Goods</t>
        </is>
      </c>
      <c r="D363" t="n">
        <v>-3019</v>
      </c>
      <c r="E363" t="n">
        <v>-27</v>
      </c>
      <c r="F363" t="n">
        <v>-1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-3047</v>
      </c>
    </row>
    <row r="364">
      <c r="A364" s="39" t="n">
        <v>45762</v>
      </c>
      <c r="B364" t="inlineStr">
        <is>
          <t>Apr 01-15, 2025</t>
        </is>
      </c>
      <c r="C364" t="inlineStr">
        <is>
          <t>Chemicals</t>
        </is>
      </c>
      <c r="D364" t="n">
        <v>-309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-309</v>
      </c>
    </row>
    <row r="365">
      <c r="A365" s="39" t="n">
        <v>45762</v>
      </c>
      <c r="B365" t="inlineStr">
        <is>
          <t>Apr 01-15, 2025</t>
        </is>
      </c>
      <c r="C365" t="inlineStr">
        <is>
          <t>Construction</t>
        </is>
      </c>
      <c r="D365" t="n">
        <v>-2461</v>
      </c>
      <c r="E365" t="n">
        <v>0</v>
      </c>
      <c r="F365" t="n">
        <v>0</v>
      </c>
      <c r="G365" t="n">
        <v>0</v>
      </c>
      <c r="H365" t="n">
        <v>-4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-2465</v>
      </c>
    </row>
    <row r="366">
      <c r="A366" s="39" t="n">
        <v>45762</v>
      </c>
      <c r="B366" t="inlineStr">
        <is>
          <t>Apr 01-15, 2025</t>
        </is>
      </c>
      <c r="C366" t="inlineStr">
        <is>
          <t>Construction Materials</t>
        </is>
      </c>
      <c r="D366" t="n">
        <v>-612</v>
      </c>
      <c r="E366" t="n">
        <v>-101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-713</v>
      </c>
    </row>
    <row r="367">
      <c r="A367" s="39" t="n">
        <v>45762</v>
      </c>
      <c r="B367" t="inlineStr">
        <is>
          <t>Apr 01-15, 2025</t>
        </is>
      </c>
      <c r="C367" t="inlineStr">
        <is>
          <t>Consumer Durables</t>
        </is>
      </c>
      <c r="D367" t="n">
        <v>-1026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-1026</v>
      </c>
    </row>
    <row r="368">
      <c r="A368" s="39" t="n">
        <v>45762</v>
      </c>
      <c r="B368" t="inlineStr">
        <is>
          <t>Apr 01-15, 2025</t>
        </is>
      </c>
      <c r="C368" t="inlineStr">
        <is>
          <t>Consumer Services</t>
        </is>
      </c>
      <c r="D368" t="n">
        <v>-166</v>
      </c>
      <c r="E368" t="n">
        <v>-73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-239</v>
      </c>
    </row>
    <row r="369">
      <c r="A369" s="39" t="n">
        <v>45762</v>
      </c>
      <c r="B369" t="inlineStr">
        <is>
          <t>Apr 01-15, 2025</t>
        </is>
      </c>
      <c r="C369" t="inlineStr">
        <is>
          <t>Diversified</t>
        </is>
      </c>
      <c r="D369" t="n">
        <v>28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28</v>
      </c>
    </row>
    <row r="370">
      <c r="A370" s="39" t="n">
        <v>45762</v>
      </c>
      <c r="B370" t="inlineStr">
        <is>
          <t>Apr 01-15, 2025</t>
        </is>
      </c>
      <c r="C370" t="inlineStr">
        <is>
          <t>Fast Moving Consumer Goods</t>
        </is>
      </c>
      <c r="D370" t="n">
        <v>587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587</v>
      </c>
    </row>
    <row r="371">
      <c r="A371" s="39" t="n">
        <v>45762</v>
      </c>
      <c r="B371" t="inlineStr">
        <is>
          <t>Apr 01-15, 2025</t>
        </is>
      </c>
      <c r="C371" t="inlineStr">
        <is>
          <t>Financial Services</t>
        </is>
      </c>
      <c r="D371" t="n">
        <v>-4501</v>
      </c>
      <c r="E371" t="n">
        <v>-2611</v>
      </c>
      <c r="F371" t="n">
        <v>-849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3</v>
      </c>
      <c r="N371" t="n">
        <v>0</v>
      </c>
      <c r="O371" t="n">
        <v>-7958</v>
      </c>
    </row>
    <row r="372">
      <c r="A372" s="39" t="n">
        <v>45762</v>
      </c>
      <c r="B372" t="inlineStr">
        <is>
          <t>Apr 01-15, 2025</t>
        </is>
      </c>
      <c r="C372" t="inlineStr">
        <is>
          <t>Forest Materials</t>
        </is>
      </c>
      <c r="D372" t="n">
        <v>-19</v>
      </c>
      <c r="E372" t="n">
        <v>20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</row>
    <row r="373">
      <c r="A373" s="39" t="n">
        <v>45762</v>
      </c>
      <c r="B373" t="inlineStr">
        <is>
          <t>Apr 01-15, 2025</t>
        </is>
      </c>
      <c r="C373" t="inlineStr">
        <is>
          <t>Healthcare</t>
        </is>
      </c>
      <c r="D373" t="n">
        <v>-1384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-1384</v>
      </c>
    </row>
    <row r="374">
      <c r="A374" s="39" t="n">
        <v>45762</v>
      </c>
      <c r="B374" t="inlineStr">
        <is>
          <t>Apr 01-15, 2025</t>
        </is>
      </c>
      <c r="C374" t="inlineStr">
        <is>
          <t>Information Technology</t>
        </is>
      </c>
      <c r="D374" t="n">
        <v>-13828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-13828</v>
      </c>
    </row>
    <row r="375">
      <c r="A375" s="39" t="n">
        <v>45762</v>
      </c>
      <c r="B375" t="inlineStr">
        <is>
          <t>Apr 01-15, 2025</t>
        </is>
      </c>
      <c r="C375" t="inlineStr">
        <is>
          <t>Media, Entertainment &amp; Publication</t>
        </is>
      </c>
      <c r="D375" t="n">
        <v>103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103</v>
      </c>
    </row>
    <row r="376">
      <c r="A376" s="39" t="n">
        <v>45762</v>
      </c>
      <c r="B376" t="inlineStr">
        <is>
          <t>Apr 01-15, 2025</t>
        </is>
      </c>
      <c r="C376" t="inlineStr">
        <is>
          <t>Metals &amp; Mining</t>
        </is>
      </c>
      <c r="D376" t="n">
        <v>-2829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-2829</v>
      </c>
    </row>
    <row r="377">
      <c r="A377" s="39" t="n">
        <v>45762</v>
      </c>
      <c r="B377" t="inlineStr">
        <is>
          <t>Apr 01-15, 2025</t>
        </is>
      </c>
      <c r="C377" t="inlineStr">
        <is>
          <t>Oil, Gas &amp; Consumable Fuels</t>
        </is>
      </c>
      <c r="D377" t="n">
        <v>-2759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-2759</v>
      </c>
    </row>
    <row r="378">
      <c r="A378" s="39" t="n">
        <v>45762</v>
      </c>
      <c r="B378" t="inlineStr">
        <is>
          <t>Apr 01-15, 2025</t>
        </is>
      </c>
      <c r="C378" t="inlineStr">
        <is>
          <t>Others</t>
        </is>
      </c>
      <c r="D378" t="n">
        <v>297</v>
      </c>
      <c r="E378" t="n">
        <v>-3412</v>
      </c>
      <c r="F378" t="n">
        <v>-706</v>
      </c>
      <c r="G378" t="n">
        <v>0</v>
      </c>
      <c r="H378" t="n">
        <v>0</v>
      </c>
      <c r="I378" t="n">
        <v>14</v>
      </c>
      <c r="J378" t="n">
        <v>256</v>
      </c>
      <c r="K378" t="n">
        <v>-91</v>
      </c>
      <c r="L378" t="n">
        <v>0</v>
      </c>
      <c r="M378" t="n">
        <v>17</v>
      </c>
      <c r="N378" t="n">
        <v>0</v>
      </c>
      <c r="O378" t="n">
        <v>-3625</v>
      </c>
    </row>
    <row r="379">
      <c r="A379" s="39" t="n">
        <v>45762</v>
      </c>
      <c r="B379" t="inlineStr">
        <is>
          <t>Apr 01-15, 2025</t>
        </is>
      </c>
      <c r="C379" t="inlineStr">
        <is>
          <t>Power</t>
        </is>
      </c>
      <c r="D379" t="n">
        <v>29</v>
      </c>
      <c r="E379" t="n">
        <v>-85</v>
      </c>
      <c r="F379" t="n">
        <v>0</v>
      </c>
      <c r="G379" t="n">
        <v>0</v>
      </c>
      <c r="H379" t="n">
        <v>-119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-175</v>
      </c>
    </row>
    <row r="380">
      <c r="A380" s="39" t="n">
        <v>45762</v>
      </c>
      <c r="B380" t="inlineStr">
        <is>
          <t>Apr 01-15, 2025</t>
        </is>
      </c>
      <c r="C380" t="inlineStr">
        <is>
          <t>Realty</t>
        </is>
      </c>
      <c r="D380" t="n">
        <v>-360</v>
      </c>
      <c r="E380" t="n">
        <v>0</v>
      </c>
      <c r="F380" t="n">
        <v>0</v>
      </c>
      <c r="G380" t="n">
        <v>0</v>
      </c>
      <c r="H380" t="n">
        <v>53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-307</v>
      </c>
    </row>
    <row r="381">
      <c r="A381" s="39" t="n">
        <v>45762</v>
      </c>
      <c r="B381" t="inlineStr">
        <is>
          <t>Apr 01-15, 2025</t>
        </is>
      </c>
      <c r="C381" t="inlineStr">
        <is>
          <t>Services</t>
        </is>
      </c>
      <c r="D381" t="n">
        <v>-1175</v>
      </c>
      <c r="E381" t="n">
        <v>0</v>
      </c>
      <c r="F381" t="n">
        <v>250</v>
      </c>
      <c r="G381" t="n">
        <v>0</v>
      </c>
      <c r="H381" t="n">
        <v>34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-891</v>
      </c>
    </row>
    <row r="382">
      <c r="A382" s="39" t="n">
        <v>45762</v>
      </c>
      <c r="B382" t="inlineStr">
        <is>
          <t>Apr 01-15, 2025</t>
        </is>
      </c>
      <c r="C382" t="inlineStr">
        <is>
          <t>Sovereign</t>
        </is>
      </c>
      <c r="D382" t="n">
        <v>0</v>
      </c>
      <c r="E382" t="n">
        <v>-1380</v>
      </c>
      <c r="F382" t="n">
        <v>108</v>
      </c>
      <c r="G382" t="n">
        <v>-5941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-7213</v>
      </c>
    </row>
    <row r="383">
      <c r="A383" s="39" t="n">
        <v>45762</v>
      </c>
      <c r="B383" t="inlineStr">
        <is>
          <t>Apr 01-15, 2025</t>
        </is>
      </c>
      <c r="C383" t="inlineStr">
        <is>
          <t>Telecommunication</t>
        </is>
      </c>
      <c r="D383" t="n">
        <v>2137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2137</v>
      </c>
    </row>
    <row r="384">
      <c r="A384" s="39" t="n">
        <v>45762</v>
      </c>
      <c r="B384" t="inlineStr">
        <is>
          <t>Apr 01-15, 2025</t>
        </is>
      </c>
      <c r="C384" t="inlineStr">
        <is>
          <t>Textiles</t>
        </is>
      </c>
      <c r="D384" t="n">
        <v>-72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-72</v>
      </c>
    </row>
    <row r="385">
      <c r="A385" s="39" t="n">
        <v>45762</v>
      </c>
      <c r="B385" t="inlineStr">
        <is>
          <t>Apr 01-15, 2025</t>
        </is>
      </c>
      <c r="C385" t="inlineStr">
        <is>
          <t>Utilities</t>
        </is>
      </c>
      <c r="D385" t="n">
        <v>-26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-26</v>
      </c>
    </row>
    <row r="386">
      <c r="A386" s="39" t="n">
        <v>45777</v>
      </c>
      <c r="B386" t="inlineStr">
        <is>
          <t>Apr 16-30, 2025</t>
        </is>
      </c>
      <c r="C386" t="inlineStr">
        <is>
          <t>Automobile and Auto Components</t>
        </is>
      </c>
      <c r="D386" t="n">
        <v>-645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-645</v>
      </c>
    </row>
    <row r="387">
      <c r="A387" s="39" t="n">
        <v>45777</v>
      </c>
      <c r="B387" t="inlineStr">
        <is>
          <t>Apr 16-30, 2025</t>
        </is>
      </c>
      <c r="C387" t="inlineStr">
        <is>
          <t>Capital Goods</t>
        </is>
      </c>
      <c r="D387" t="n">
        <v>2944</v>
      </c>
      <c r="E387" t="n">
        <v>-5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2939</v>
      </c>
    </row>
    <row r="388">
      <c r="A388" s="39" t="n">
        <v>45777</v>
      </c>
      <c r="B388" t="inlineStr">
        <is>
          <t>Apr 16-30, 2025</t>
        </is>
      </c>
      <c r="C388" t="inlineStr">
        <is>
          <t>Chemicals</t>
        </is>
      </c>
      <c r="D388" t="n">
        <v>1184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1184</v>
      </c>
    </row>
    <row r="389">
      <c r="A389" s="39" t="n">
        <v>45777</v>
      </c>
      <c r="B389" t="inlineStr">
        <is>
          <t>Apr 16-30, 2025</t>
        </is>
      </c>
      <c r="C389" t="inlineStr">
        <is>
          <t>Construction</t>
        </is>
      </c>
      <c r="D389" t="n">
        <v>-425</v>
      </c>
      <c r="E389" t="n">
        <v>0</v>
      </c>
      <c r="F389" t="n">
        <v>0</v>
      </c>
      <c r="G389" t="n">
        <v>0</v>
      </c>
      <c r="H389" t="n">
        <v>-2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-427</v>
      </c>
    </row>
    <row r="390">
      <c r="A390" s="39" t="n">
        <v>45777</v>
      </c>
      <c r="B390" t="inlineStr">
        <is>
          <t>Apr 16-30, 2025</t>
        </is>
      </c>
      <c r="C390" t="inlineStr">
        <is>
          <t>Construction Materials</t>
        </is>
      </c>
      <c r="D390" t="n">
        <v>415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415</v>
      </c>
    </row>
    <row r="391">
      <c r="A391" s="39" t="n">
        <v>45777</v>
      </c>
      <c r="B391" t="inlineStr">
        <is>
          <t>Apr 16-30, 2025</t>
        </is>
      </c>
      <c r="C391" t="inlineStr">
        <is>
          <t>Consumer Durables</t>
        </is>
      </c>
      <c r="D391" t="n">
        <v>965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965</v>
      </c>
    </row>
    <row r="392">
      <c r="A392" s="39" t="n">
        <v>45777</v>
      </c>
      <c r="B392" t="inlineStr">
        <is>
          <t>Apr 16-30, 2025</t>
        </is>
      </c>
      <c r="C392" t="inlineStr">
        <is>
          <t>Consumer Services</t>
        </is>
      </c>
      <c r="D392" t="n">
        <v>1963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1963</v>
      </c>
    </row>
    <row r="393">
      <c r="A393" s="39" t="n">
        <v>45777</v>
      </c>
      <c r="B393" t="inlineStr">
        <is>
          <t>Apr 16-30, 2025</t>
        </is>
      </c>
      <c r="C393" t="inlineStr">
        <is>
          <t>Diversified</t>
        </is>
      </c>
      <c r="D393" t="n">
        <v>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5</v>
      </c>
    </row>
    <row r="394">
      <c r="A394" s="39" t="n">
        <v>45777</v>
      </c>
      <c r="B394" t="inlineStr">
        <is>
          <t>Apr 16-30, 2025</t>
        </is>
      </c>
      <c r="C394" t="inlineStr">
        <is>
          <t>Fast Moving Consumer Goods</t>
        </is>
      </c>
      <c r="D394" t="n">
        <v>2330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2330</v>
      </c>
    </row>
    <row r="395">
      <c r="A395" s="39" t="n">
        <v>45777</v>
      </c>
      <c r="B395" t="inlineStr">
        <is>
          <t>Apr 16-30, 2025</t>
        </is>
      </c>
      <c r="C395" t="inlineStr">
        <is>
          <t>Financial Services</t>
        </is>
      </c>
      <c r="D395" t="n">
        <v>22910</v>
      </c>
      <c r="E395" t="n">
        <v>-1261</v>
      </c>
      <c r="F395" t="n">
        <v>-2293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11</v>
      </c>
      <c r="N395" t="n">
        <v>0</v>
      </c>
      <c r="O395" t="n">
        <v>19367</v>
      </c>
    </row>
    <row r="396">
      <c r="A396" s="39" t="n">
        <v>45777</v>
      </c>
      <c r="B396" t="inlineStr">
        <is>
          <t>Apr 16-30, 2025</t>
        </is>
      </c>
      <c r="C396" t="inlineStr">
        <is>
          <t>Forest Materials</t>
        </is>
      </c>
      <c r="D396" t="n">
        <v>-15</v>
      </c>
      <c r="E396" t="n">
        <v>15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39" t="n">
        <v>45777</v>
      </c>
      <c r="B397" t="inlineStr">
        <is>
          <t>Apr 16-30, 2025</t>
        </is>
      </c>
      <c r="C397" t="inlineStr">
        <is>
          <t>Healthcare</t>
        </is>
      </c>
      <c r="D397" t="n">
        <v>656</v>
      </c>
      <c r="E397" t="n">
        <v>0</v>
      </c>
      <c r="F397" t="n">
        <v>-76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580</v>
      </c>
    </row>
    <row r="398">
      <c r="A398" s="39" t="n">
        <v>45777</v>
      </c>
      <c r="B398" t="inlineStr">
        <is>
          <t>Apr 16-30, 2025</t>
        </is>
      </c>
      <c r="C398" t="inlineStr">
        <is>
          <t>Information Technology</t>
        </is>
      </c>
      <c r="D398" t="n">
        <v>-1385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-1385</v>
      </c>
    </row>
    <row r="399">
      <c r="A399" s="39" t="n">
        <v>45777</v>
      </c>
      <c r="B399" t="inlineStr">
        <is>
          <t>Apr 16-30, 2025</t>
        </is>
      </c>
      <c r="C399" t="inlineStr">
        <is>
          <t>Media, Entertainment &amp; Publication</t>
        </is>
      </c>
      <c r="D399" t="n">
        <v>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9</v>
      </c>
    </row>
    <row r="400">
      <c r="A400" s="39" t="n">
        <v>45777</v>
      </c>
      <c r="B400" t="inlineStr">
        <is>
          <t>Apr 16-30, 2025</t>
        </is>
      </c>
      <c r="C400" t="inlineStr">
        <is>
          <t>Metals &amp; Mining</t>
        </is>
      </c>
      <c r="D400" t="n">
        <v>-574</v>
      </c>
      <c r="E400" t="n">
        <v>-5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-579</v>
      </c>
    </row>
    <row r="401">
      <c r="A401" s="39" t="n">
        <v>45777</v>
      </c>
      <c r="B401" t="inlineStr">
        <is>
          <t>Apr 16-30, 2025</t>
        </is>
      </c>
      <c r="C401" t="inlineStr">
        <is>
          <t>Oil, Gas &amp; Consumable Fuels</t>
        </is>
      </c>
      <c r="D401" t="n">
        <v>2401</v>
      </c>
      <c r="E401" t="n">
        <v>-107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2294</v>
      </c>
    </row>
    <row r="402">
      <c r="A402" s="39" t="n">
        <v>45777</v>
      </c>
      <c r="B402" t="inlineStr">
        <is>
          <t>Apr 16-30, 2025</t>
        </is>
      </c>
      <c r="C402" t="inlineStr">
        <is>
          <t>Others</t>
        </is>
      </c>
      <c r="D402" t="n">
        <v>1431</v>
      </c>
      <c r="E402" t="n">
        <v>-3534</v>
      </c>
      <c r="F402" t="n">
        <v>-1716</v>
      </c>
      <c r="G402" t="n">
        <v>0</v>
      </c>
      <c r="H402" t="n">
        <v>0</v>
      </c>
      <c r="I402" t="n">
        <v>84</v>
      </c>
      <c r="J402" t="n">
        <v>58</v>
      </c>
      <c r="K402" t="n">
        <v>3</v>
      </c>
      <c r="L402" t="n">
        <v>0</v>
      </c>
      <c r="M402" t="n">
        <v>2</v>
      </c>
      <c r="N402" t="n">
        <v>0</v>
      </c>
      <c r="O402" t="n">
        <v>-3672</v>
      </c>
    </row>
    <row r="403">
      <c r="A403" s="39" t="n">
        <v>45777</v>
      </c>
      <c r="B403" t="inlineStr">
        <is>
          <t>Apr 16-30, 2025</t>
        </is>
      </c>
      <c r="C403" t="inlineStr">
        <is>
          <t>Power</t>
        </is>
      </c>
      <c r="D403" t="n">
        <v>878</v>
      </c>
      <c r="E403" t="n">
        <v>145</v>
      </c>
      <c r="F403" t="n">
        <v>0</v>
      </c>
      <c r="G403" t="n">
        <v>0</v>
      </c>
      <c r="H403" t="n">
        <v>-45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978</v>
      </c>
    </row>
    <row r="404">
      <c r="A404" s="39" t="n">
        <v>45777</v>
      </c>
      <c r="B404" t="inlineStr">
        <is>
          <t>Apr 16-30, 2025</t>
        </is>
      </c>
      <c r="C404" t="inlineStr">
        <is>
          <t>Realty</t>
        </is>
      </c>
      <c r="D404" t="n">
        <v>-353</v>
      </c>
      <c r="E404" t="n">
        <v>0</v>
      </c>
      <c r="F404" t="n">
        <v>0</v>
      </c>
      <c r="G404" t="n">
        <v>0</v>
      </c>
      <c r="H404" t="n">
        <v>-298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-651</v>
      </c>
    </row>
    <row r="405">
      <c r="A405" s="39" t="n">
        <v>45777</v>
      </c>
      <c r="B405" t="inlineStr">
        <is>
          <t>Apr 16-30, 2025</t>
        </is>
      </c>
      <c r="C405" t="inlineStr">
        <is>
          <t>Services</t>
        </is>
      </c>
      <c r="D405" t="n">
        <v>983</v>
      </c>
      <c r="E405" t="n">
        <v>-11</v>
      </c>
      <c r="F405" t="n">
        <v>0</v>
      </c>
      <c r="G405" t="n">
        <v>0</v>
      </c>
      <c r="H405" t="n">
        <v>-6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966</v>
      </c>
    </row>
    <row r="406">
      <c r="A406" s="39" t="n">
        <v>45777</v>
      </c>
      <c r="B406" t="inlineStr">
        <is>
          <t>Apr 16-30, 2025</t>
        </is>
      </c>
      <c r="C406" t="inlineStr">
        <is>
          <t>Sovereign</t>
        </is>
      </c>
      <c r="D406" t="n">
        <v>0</v>
      </c>
      <c r="E406" t="n">
        <v>-882</v>
      </c>
      <c r="F406" t="n">
        <v>-365</v>
      </c>
      <c r="G406" t="n">
        <v>520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-727</v>
      </c>
    </row>
    <row r="407">
      <c r="A407" s="39" t="n">
        <v>45777</v>
      </c>
      <c r="B407" t="inlineStr">
        <is>
          <t>Apr 16-30, 2025</t>
        </is>
      </c>
      <c r="C407" t="inlineStr">
        <is>
          <t>Telecommunication</t>
        </is>
      </c>
      <c r="D407" t="n">
        <v>2511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2511</v>
      </c>
    </row>
    <row r="408">
      <c r="A408" s="39" t="n">
        <v>45777</v>
      </c>
      <c r="B408" t="inlineStr">
        <is>
          <t>Apr 16-30, 2025</t>
        </is>
      </c>
      <c r="C408" t="inlineStr">
        <is>
          <t>Textiles</t>
        </is>
      </c>
      <c r="D408" t="n">
        <v>-72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-72</v>
      </c>
    </row>
    <row r="409">
      <c r="A409" s="39" t="n">
        <v>45777</v>
      </c>
      <c r="B409" t="inlineStr">
        <is>
          <t>Apr 16-30, 2025</t>
        </is>
      </c>
      <c r="C409" t="inlineStr">
        <is>
          <t>Utilities</t>
        </is>
      </c>
      <c r="D409" t="n">
        <v>35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35</v>
      </c>
    </row>
    <row r="410">
      <c r="A410" s="39" t="n">
        <v>45792</v>
      </c>
      <c r="B410" t="inlineStr">
        <is>
          <t>May 01-15, 2025</t>
        </is>
      </c>
      <c r="C410" t="inlineStr">
        <is>
          <t>Automobile and Auto Components</t>
        </is>
      </c>
      <c r="D410" t="n">
        <v>1610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1610</v>
      </c>
    </row>
    <row r="411">
      <c r="A411" s="39" t="n">
        <v>45792</v>
      </c>
      <c r="B411" t="inlineStr">
        <is>
          <t>May 01-15, 2025</t>
        </is>
      </c>
      <c r="C411" t="inlineStr">
        <is>
          <t>Capital Goods</t>
        </is>
      </c>
      <c r="D411" t="n">
        <v>2233</v>
      </c>
      <c r="E411" t="n">
        <v>-4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2229</v>
      </c>
    </row>
    <row r="412">
      <c r="A412" s="39" t="n">
        <v>45792</v>
      </c>
      <c r="B412" t="inlineStr">
        <is>
          <t>May 01-15, 2025</t>
        </is>
      </c>
      <c r="C412" t="inlineStr">
        <is>
          <t>Chemicals</t>
        </is>
      </c>
      <c r="D412" t="n">
        <v>833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833</v>
      </c>
    </row>
    <row r="413">
      <c r="A413" s="39" t="n">
        <v>45792</v>
      </c>
      <c r="B413" t="inlineStr">
        <is>
          <t>May 01-15, 2025</t>
        </is>
      </c>
      <c r="C413" t="inlineStr">
        <is>
          <t>Construction</t>
        </is>
      </c>
      <c r="D413" t="n">
        <v>-190</v>
      </c>
      <c r="E413" t="n">
        <v>0</v>
      </c>
      <c r="F413" t="n">
        <v>0</v>
      </c>
      <c r="G413" t="n">
        <v>0</v>
      </c>
      <c r="H413" t="n">
        <v>-1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-191</v>
      </c>
    </row>
    <row r="414">
      <c r="A414" s="39" t="n">
        <v>45792</v>
      </c>
      <c r="B414" t="inlineStr">
        <is>
          <t>May 01-15, 2025</t>
        </is>
      </c>
      <c r="C414" t="inlineStr">
        <is>
          <t>Construction Materials</t>
        </is>
      </c>
      <c r="D414" t="n">
        <v>155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155</v>
      </c>
    </row>
    <row r="415">
      <c r="A415" s="39" t="n">
        <v>45792</v>
      </c>
      <c r="B415" t="inlineStr">
        <is>
          <t>May 01-15, 2025</t>
        </is>
      </c>
      <c r="C415" t="inlineStr">
        <is>
          <t>Consumer Durables</t>
        </is>
      </c>
      <c r="D415" t="n">
        <v>-622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-622</v>
      </c>
    </row>
    <row r="416">
      <c r="A416" s="39" t="n">
        <v>45792</v>
      </c>
      <c r="B416" t="inlineStr">
        <is>
          <t>May 01-15, 2025</t>
        </is>
      </c>
      <c r="C416" t="inlineStr">
        <is>
          <t>Consumer Services</t>
        </is>
      </c>
      <c r="D416" t="n">
        <v>1240</v>
      </c>
      <c r="E416" t="n">
        <v>-42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1198</v>
      </c>
    </row>
    <row r="417">
      <c r="A417" s="39" t="n">
        <v>45792</v>
      </c>
      <c r="B417" t="inlineStr">
        <is>
          <t>May 01-15, 2025</t>
        </is>
      </c>
      <c r="C417" t="inlineStr">
        <is>
          <t>Diversified</t>
        </is>
      </c>
      <c r="D417" t="n">
        <v>-1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-1</v>
      </c>
    </row>
    <row r="418">
      <c r="A418" s="39" t="n">
        <v>45792</v>
      </c>
      <c r="B418" t="inlineStr">
        <is>
          <t>May 01-15, 2025</t>
        </is>
      </c>
      <c r="C418" t="inlineStr">
        <is>
          <t>Fast Moving Consumer Goods</t>
        </is>
      </c>
      <c r="D418" t="n">
        <v>-1057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-1057</v>
      </c>
    </row>
    <row r="419">
      <c r="A419" s="39" t="n">
        <v>45792</v>
      </c>
      <c r="B419" t="inlineStr">
        <is>
          <t>May 01-15, 2025</t>
        </is>
      </c>
      <c r="C419" t="inlineStr">
        <is>
          <t>Financial Services</t>
        </is>
      </c>
      <c r="D419" t="n">
        <v>4728</v>
      </c>
      <c r="E419" t="n">
        <v>-1464</v>
      </c>
      <c r="F419" t="n">
        <v>-365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2901</v>
      </c>
    </row>
    <row r="420">
      <c r="A420" s="39" t="n">
        <v>45792</v>
      </c>
      <c r="B420" t="inlineStr">
        <is>
          <t>May 01-15, 2025</t>
        </is>
      </c>
      <c r="C420" t="inlineStr">
        <is>
          <t>Forest Materials</t>
        </is>
      </c>
      <c r="D420" t="n">
        <v>-12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-12</v>
      </c>
    </row>
    <row r="421">
      <c r="A421" s="39" t="n">
        <v>45792</v>
      </c>
      <c r="B421" t="inlineStr">
        <is>
          <t>May 01-15, 2025</t>
        </is>
      </c>
      <c r="C421" t="inlineStr">
        <is>
          <t>Healthcare</t>
        </is>
      </c>
      <c r="D421" t="n">
        <v>-606</v>
      </c>
      <c r="E421" t="n">
        <v>0</v>
      </c>
      <c r="F421" t="n">
        <v>-76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-682</v>
      </c>
    </row>
    <row r="422">
      <c r="A422" s="39" t="n">
        <v>45792</v>
      </c>
      <c r="B422" t="inlineStr">
        <is>
          <t>May 01-15, 2025</t>
        </is>
      </c>
      <c r="C422" t="inlineStr">
        <is>
          <t>Information Technology</t>
        </is>
      </c>
      <c r="D422" t="n">
        <v>289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289</v>
      </c>
    </row>
    <row r="423">
      <c r="A423" s="39" t="n">
        <v>45792</v>
      </c>
      <c r="B423" t="inlineStr">
        <is>
          <t>May 01-15, 2025</t>
        </is>
      </c>
      <c r="C423" t="inlineStr">
        <is>
          <t>Media, Entertainment &amp; Publication</t>
        </is>
      </c>
      <c r="D423" t="n">
        <v>92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92</v>
      </c>
    </row>
    <row r="424">
      <c r="A424" s="39" t="n">
        <v>45792</v>
      </c>
      <c r="B424" t="inlineStr">
        <is>
          <t>May 01-15, 2025</t>
        </is>
      </c>
      <c r="C424" t="inlineStr">
        <is>
          <t>Metals &amp; Mining</t>
        </is>
      </c>
      <c r="D424" t="n">
        <v>104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104</v>
      </c>
    </row>
    <row r="425">
      <c r="A425" s="39" t="n">
        <v>45792</v>
      </c>
      <c r="B425" t="inlineStr">
        <is>
          <t>May 01-15, 2025</t>
        </is>
      </c>
      <c r="C425" t="inlineStr">
        <is>
          <t>Oil, Gas &amp; Consumable Fuels</t>
        </is>
      </c>
      <c r="D425" t="n">
        <v>2130</v>
      </c>
      <c r="E425" t="n">
        <v>204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2334</v>
      </c>
    </row>
    <row r="426">
      <c r="A426" s="39" t="n">
        <v>45792</v>
      </c>
      <c r="B426" t="inlineStr">
        <is>
          <t>May 01-15, 2025</t>
        </is>
      </c>
      <c r="C426" t="inlineStr">
        <is>
          <t>Others</t>
        </is>
      </c>
      <c r="D426" t="n">
        <v>796</v>
      </c>
      <c r="E426" t="n">
        <v>-1740</v>
      </c>
      <c r="F426" t="n">
        <v>1484</v>
      </c>
      <c r="G426" t="n">
        <v>0</v>
      </c>
      <c r="H426" t="n">
        <v>0</v>
      </c>
      <c r="I426" t="n">
        <v>-527</v>
      </c>
      <c r="J426" t="n">
        <v>-53</v>
      </c>
      <c r="K426" t="n">
        <v>1</v>
      </c>
      <c r="L426" t="n">
        <v>0</v>
      </c>
      <c r="M426" t="n">
        <v>15</v>
      </c>
      <c r="N426" t="n">
        <v>0</v>
      </c>
      <c r="O426" t="n">
        <v>-24</v>
      </c>
    </row>
    <row r="427">
      <c r="A427" s="39" t="n">
        <v>45792</v>
      </c>
      <c r="B427" t="inlineStr">
        <is>
          <t>May 01-15, 2025</t>
        </is>
      </c>
      <c r="C427" t="inlineStr">
        <is>
          <t>Power</t>
        </is>
      </c>
      <c r="D427" t="n">
        <v>-720</v>
      </c>
      <c r="E427" t="n">
        <v>210</v>
      </c>
      <c r="F427" t="n">
        <v>0</v>
      </c>
      <c r="G427" t="n">
        <v>0</v>
      </c>
      <c r="H427" t="n">
        <v>-7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-517</v>
      </c>
    </row>
    <row r="428">
      <c r="A428" s="39" t="n">
        <v>45792</v>
      </c>
      <c r="B428" t="inlineStr">
        <is>
          <t>May 01-15, 2025</t>
        </is>
      </c>
      <c r="C428" t="inlineStr">
        <is>
          <t>Realty</t>
        </is>
      </c>
      <c r="D428" t="n">
        <v>-842</v>
      </c>
      <c r="E428" t="n">
        <v>0</v>
      </c>
      <c r="F428" t="n">
        <v>0</v>
      </c>
      <c r="G428" t="n">
        <v>0</v>
      </c>
      <c r="H428" t="n">
        <v>18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-824</v>
      </c>
    </row>
    <row r="429">
      <c r="A429" s="39" t="n">
        <v>45792</v>
      </c>
      <c r="B429" t="inlineStr">
        <is>
          <t>May 01-15, 2025</t>
        </is>
      </c>
      <c r="C429" t="inlineStr">
        <is>
          <t>Services</t>
        </is>
      </c>
      <c r="D429" t="n">
        <v>1762</v>
      </c>
      <c r="E429" t="n">
        <v>0</v>
      </c>
      <c r="F429" t="n">
        <v>0</v>
      </c>
      <c r="G429" t="n">
        <v>0</v>
      </c>
      <c r="H429" t="n">
        <v>-6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1756</v>
      </c>
    </row>
    <row r="430">
      <c r="A430" s="39" t="n">
        <v>45792</v>
      </c>
      <c r="B430" t="inlineStr">
        <is>
          <t>May 01-15, 2025</t>
        </is>
      </c>
      <c r="C430" t="inlineStr">
        <is>
          <t>Sovereign</t>
        </is>
      </c>
      <c r="D430" t="n">
        <v>0</v>
      </c>
      <c r="E430" t="n">
        <v>-3176</v>
      </c>
      <c r="F430" t="n">
        <v>134</v>
      </c>
      <c r="G430" t="n">
        <v>-1476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-4518</v>
      </c>
    </row>
    <row r="431">
      <c r="A431" s="39" t="n">
        <v>45792</v>
      </c>
      <c r="B431" t="inlineStr">
        <is>
          <t>May 01-15, 2025</t>
        </is>
      </c>
      <c r="C431" t="inlineStr">
        <is>
          <t>Telecommunication</t>
        </is>
      </c>
      <c r="D431" t="n">
        <v>1037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1037</v>
      </c>
    </row>
    <row r="432">
      <c r="A432" s="39" t="n">
        <v>45792</v>
      </c>
      <c r="B432" t="inlineStr">
        <is>
          <t>May 01-15, 2025</t>
        </is>
      </c>
      <c r="C432" t="inlineStr">
        <is>
          <t>Textiles</t>
        </is>
      </c>
      <c r="D432" t="n">
        <v>-92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-92</v>
      </c>
    </row>
    <row r="433">
      <c r="A433" s="39" t="n">
        <v>45792</v>
      </c>
      <c r="B433" t="inlineStr">
        <is>
          <t>May 01-15, 2025</t>
        </is>
      </c>
      <c r="C433" t="inlineStr">
        <is>
          <t>Utilities</t>
        </is>
      </c>
      <c r="D433" t="n">
        <v>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7</v>
      </c>
    </row>
    <row r="434">
      <c r="A434" s="39" t="n">
        <v>45808</v>
      </c>
      <c r="B434" t="inlineStr">
        <is>
          <t>May 16-31, 2025</t>
        </is>
      </c>
      <c r="C434" t="inlineStr">
        <is>
          <t>Automobile and Auto Components</t>
        </is>
      </c>
      <c r="D434" t="n">
        <v>-1509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-1509</v>
      </c>
    </row>
    <row r="435">
      <c r="A435" s="39" t="n">
        <v>45808</v>
      </c>
      <c r="B435" t="inlineStr">
        <is>
          <t>May 16-31, 2025</t>
        </is>
      </c>
      <c r="C435" t="inlineStr">
        <is>
          <t>Capital Goods</t>
        </is>
      </c>
      <c r="D435" t="n">
        <v>3094</v>
      </c>
      <c r="E435" t="n">
        <v>-5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3089</v>
      </c>
    </row>
    <row r="436">
      <c r="A436" s="39" t="n">
        <v>45808</v>
      </c>
      <c r="B436" t="inlineStr">
        <is>
          <t>May 16-31, 2025</t>
        </is>
      </c>
      <c r="C436" t="inlineStr">
        <is>
          <t>Chemicals</t>
        </is>
      </c>
      <c r="D436" t="n">
        <v>475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475</v>
      </c>
    </row>
    <row r="437">
      <c r="A437" s="39" t="n">
        <v>45808</v>
      </c>
      <c r="B437" t="inlineStr">
        <is>
          <t>May 16-31, 2025</t>
        </is>
      </c>
      <c r="C437" t="inlineStr">
        <is>
          <t>Construction</t>
        </is>
      </c>
      <c r="D437" t="n">
        <v>457</v>
      </c>
      <c r="E437" t="n">
        <v>0</v>
      </c>
      <c r="F437" t="n">
        <v>0</v>
      </c>
      <c r="G437" t="n">
        <v>0</v>
      </c>
      <c r="H437" t="n">
        <v>-1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456</v>
      </c>
    </row>
    <row r="438">
      <c r="A438" s="39" t="n">
        <v>45808</v>
      </c>
      <c r="B438" t="inlineStr">
        <is>
          <t>May 16-31, 2025</t>
        </is>
      </c>
      <c r="C438" t="inlineStr">
        <is>
          <t>Construction Materials</t>
        </is>
      </c>
      <c r="D438" t="n">
        <v>420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420</v>
      </c>
    </row>
    <row r="439">
      <c r="A439" s="39" t="n">
        <v>45808</v>
      </c>
      <c r="B439" t="inlineStr">
        <is>
          <t>May 16-31, 2025</t>
        </is>
      </c>
      <c r="C439" t="inlineStr">
        <is>
          <t>Consumer Durables</t>
        </is>
      </c>
      <c r="D439" t="n">
        <v>-1112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-1112</v>
      </c>
    </row>
    <row r="440">
      <c r="A440" s="39" t="n">
        <v>45808</v>
      </c>
      <c r="B440" t="inlineStr">
        <is>
          <t>May 16-31, 2025</t>
        </is>
      </c>
      <c r="C440" t="inlineStr">
        <is>
          <t>Consumer Services</t>
        </is>
      </c>
      <c r="D440" t="n">
        <v>-1731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-1731</v>
      </c>
    </row>
    <row r="441">
      <c r="A441" s="39" t="n">
        <v>45808</v>
      </c>
      <c r="B441" t="inlineStr">
        <is>
          <t>May 16-31, 2025</t>
        </is>
      </c>
      <c r="C441" t="inlineStr">
        <is>
          <t>Diversified</t>
        </is>
      </c>
      <c r="D441" t="n">
        <v>-111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-111</v>
      </c>
    </row>
    <row r="442">
      <c r="A442" s="39" t="n">
        <v>45808</v>
      </c>
      <c r="B442" t="inlineStr">
        <is>
          <t>May 16-31, 2025</t>
        </is>
      </c>
      <c r="C442" t="inlineStr">
        <is>
          <t>Fast Moving Consumer Goods</t>
        </is>
      </c>
      <c r="D442" t="n">
        <v>1872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1872</v>
      </c>
    </row>
    <row r="443">
      <c r="A443" s="39" t="n">
        <v>45808</v>
      </c>
      <c r="B443" t="inlineStr">
        <is>
          <t>May 16-31, 2025</t>
        </is>
      </c>
      <c r="C443" t="inlineStr">
        <is>
          <t>Financial Services</t>
        </is>
      </c>
      <c r="D443" t="n">
        <v>-700</v>
      </c>
      <c r="E443" t="n">
        <v>660</v>
      </c>
      <c r="F443" t="n">
        <v>1009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969</v>
      </c>
    </row>
    <row r="444">
      <c r="A444" s="39" t="n">
        <v>45808</v>
      </c>
      <c r="B444" t="inlineStr">
        <is>
          <t>May 16-31, 2025</t>
        </is>
      </c>
      <c r="C444" t="inlineStr">
        <is>
          <t>Forest Materials</t>
        </is>
      </c>
      <c r="D444" t="n">
        <v>21</v>
      </c>
      <c r="E444" t="n">
        <v>-10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11</v>
      </c>
    </row>
    <row r="445">
      <c r="A445" s="39" t="n">
        <v>45808</v>
      </c>
      <c r="B445" t="inlineStr">
        <is>
          <t>May 16-31, 2025</t>
        </is>
      </c>
      <c r="C445" t="inlineStr">
        <is>
          <t>Healthcare</t>
        </is>
      </c>
      <c r="D445" t="n">
        <v>-2008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-2008</v>
      </c>
    </row>
    <row r="446">
      <c r="A446" s="39" t="n">
        <v>45808</v>
      </c>
      <c r="B446" t="inlineStr">
        <is>
          <t>May 16-31, 2025</t>
        </is>
      </c>
      <c r="C446" t="inlineStr">
        <is>
          <t>Information Technology</t>
        </is>
      </c>
      <c r="D446" t="n">
        <v>-2725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-2725</v>
      </c>
    </row>
    <row r="447">
      <c r="A447" s="39" t="n">
        <v>45808</v>
      </c>
      <c r="B447" t="inlineStr">
        <is>
          <t>May 16-31, 2025</t>
        </is>
      </c>
      <c r="C447" t="inlineStr">
        <is>
          <t>Media, Entertainment &amp; Publication</t>
        </is>
      </c>
      <c r="D447" t="n">
        <v>45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45</v>
      </c>
    </row>
    <row r="448">
      <c r="A448" s="39" t="n">
        <v>45808</v>
      </c>
      <c r="B448" t="inlineStr">
        <is>
          <t>May 16-31, 2025</t>
        </is>
      </c>
      <c r="C448" t="inlineStr">
        <is>
          <t>Metals &amp; Mining</t>
        </is>
      </c>
      <c r="D448" t="n">
        <v>-34</v>
      </c>
      <c r="E448" t="n">
        <v>-5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-39</v>
      </c>
    </row>
    <row r="449">
      <c r="A449" s="39" t="n">
        <v>45808</v>
      </c>
      <c r="B449" t="inlineStr">
        <is>
          <t>May 16-31, 2025</t>
        </is>
      </c>
      <c r="C449" t="inlineStr">
        <is>
          <t>Oil, Gas &amp; Consumable Fuels</t>
        </is>
      </c>
      <c r="D449" t="n">
        <v>390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390</v>
      </c>
    </row>
    <row r="450">
      <c r="A450" s="39" t="n">
        <v>45808</v>
      </c>
      <c r="B450" t="inlineStr">
        <is>
          <t>May 16-31, 2025</t>
        </is>
      </c>
      <c r="C450" t="inlineStr">
        <is>
          <t>Others</t>
        </is>
      </c>
      <c r="D450" t="n">
        <v>-540</v>
      </c>
      <c r="E450" t="n">
        <v>28564</v>
      </c>
      <c r="F450" t="n">
        <v>9</v>
      </c>
      <c r="G450" t="n">
        <v>0</v>
      </c>
      <c r="H450" t="n">
        <v>0</v>
      </c>
      <c r="I450" t="n">
        <v>99</v>
      </c>
      <c r="J450" t="n">
        <v>1</v>
      </c>
      <c r="K450" t="n">
        <v>63</v>
      </c>
      <c r="L450" t="n">
        <v>0</v>
      </c>
      <c r="M450" t="n">
        <v>22</v>
      </c>
      <c r="N450" t="n">
        <v>0</v>
      </c>
      <c r="O450" t="n">
        <v>28218</v>
      </c>
    </row>
    <row r="451">
      <c r="A451" s="39" t="n">
        <v>45808</v>
      </c>
      <c r="B451" t="inlineStr">
        <is>
          <t>May 16-31, 2025</t>
        </is>
      </c>
      <c r="C451" t="inlineStr">
        <is>
          <t>Power</t>
        </is>
      </c>
      <c r="D451" t="n">
        <v>-1774</v>
      </c>
      <c r="E451" t="n">
        <v>0</v>
      </c>
      <c r="F451" t="n">
        <v>0</v>
      </c>
      <c r="G451" t="n">
        <v>0</v>
      </c>
      <c r="H451" t="n">
        <v>-18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-1792</v>
      </c>
    </row>
    <row r="452">
      <c r="A452" s="39" t="n">
        <v>45808</v>
      </c>
      <c r="B452" t="inlineStr">
        <is>
          <t>May 16-31, 2025</t>
        </is>
      </c>
      <c r="C452" t="inlineStr">
        <is>
          <t>Realty</t>
        </is>
      </c>
      <c r="D452" t="n">
        <v>-822</v>
      </c>
      <c r="E452" t="n">
        <v>0</v>
      </c>
      <c r="F452" t="n">
        <v>0</v>
      </c>
      <c r="G452" t="n">
        <v>0</v>
      </c>
      <c r="H452" t="n">
        <v>-668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-1490</v>
      </c>
    </row>
    <row r="453">
      <c r="A453" s="39" t="n">
        <v>45808</v>
      </c>
      <c r="B453" t="inlineStr">
        <is>
          <t>May 16-31, 2025</t>
        </is>
      </c>
      <c r="C453" t="inlineStr">
        <is>
          <t>Services</t>
        </is>
      </c>
      <c r="D453" t="n">
        <v>6210</v>
      </c>
      <c r="E453" t="n">
        <v>0</v>
      </c>
      <c r="F453" t="n">
        <v>0</v>
      </c>
      <c r="G453" t="n">
        <v>0</v>
      </c>
      <c r="H453" t="n">
        <v>-7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6203</v>
      </c>
    </row>
    <row r="454">
      <c r="A454" s="39" t="n">
        <v>45808</v>
      </c>
      <c r="B454" t="inlineStr">
        <is>
          <t>May 16-31, 2025</t>
        </is>
      </c>
      <c r="C454" t="inlineStr">
        <is>
          <t>Sovereign</t>
        </is>
      </c>
      <c r="D454" t="n">
        <v>0</v>
      </c>
      <c r="E454" t="n">
        <v>-3572</v>
      </c>
      <c r="F454" t="n">
        <v>-295</v>
      </c>
      <c r="G454" t="n">
        <v>-7883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-11750</v>
      </c>
    </row>
    <row r="455">
      <c r="A455" s="39" t="n">
        <v>45808</v>
      </c>
      <c r="B455" t="inlineStr">
        <is>
          <t>May 16-31, 2025</t>
        </is>
      </c>
      <c r="C455" t="inlineStr">
        <is>
          <t>Telecommunication</t>
        </is>
      </c>
      <c r="D455" t="n">
        <v>7052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7052</v>
      </c>
    </row>
    <row r="456">
      <c r="A456" s="39" t="n">
        <v>45808</v>
      </c>
      <c r="B456" t="inlineStr">
        <is>
          <t>May 16-31, 2025</t>
        </is>
      </c>
      <c r="C456" t="inlineStr">
        <is>
          <t>Textiles</t>
        </is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</v>
      </c>
    </row>
    <row r="457">
      <c r="A457" s="39" t="n">
        <v>45808</v>
      </c>
      <c r="B457" t="inlineStr">
        <is>
          <t>May 16-31, 2025</t>
        </is>
      </c>
      <c r="C457" t="inlineStr">
        <is>
          <t>Utilities</t>
        </is>
      </c>
      <c r="D457" t="n">
        <v>16</v>
      </c>
      <c r="E457" t="n">
        <v>-6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10</v>
      </c>
    </row>
    <row r="458">
      <c r="A458" s="39" t="n">
        <v>45823</v>
      </c>
      <c r="B458" t="inlineStr">
        <is>
          <t>Jun 01-15, 2025</t>
        </is>
      </c>
      <c r="C458" t="inlineStr">
        <is>
          <t>Automobile and Auto Components</t>
        </is>
      </c>
      <c r="D458" t="n">
        <v>-296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-296</v>
      </c>
    </row>
    <row r="459">
      <c r="A459" s="39" t="n">
        <v>45823</v>
      </c>
      <c r="B459" t="inlineStr">
        <is>
          <t>Jun 01-15, 2025</t>
        </is>
      </c>
      <c r="C459" t="inlineStr">
        <is>
          <t>Capital Goods</t>
        </is>
      </c>
      <c r="D459" t="n">
        <v>1191</v>
      </c>
      <c r="E459" t="n">
        <v>-3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1188</v>
      </c>
    </row>
    <row r="460">
      <c r="A460" s="39" t="n">
        <v>45823</v>
      </c>
      <c r="B460" t="inlineStr">
        <is>
          <t>Jun 01-15, 2025</t>
        </is>
      </c>
      <c r="C460" t="inlineStr">
        <is>
          <t>Chemicals</t>
        </is>
      </c>
      <c r="D460" t="n">
        <v>1405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1405</v>
      </c>
    </row>
    <row r="461">
      <c r="A461" s="39" t="n">
        <v>45823</v>
      </c>
      <c r="B461" t="inlineStr">
        <is>
          <t>Jun 01-15, 2025</t>
        </is>
      </c>
      <c r="C461" t="inlineStr">
        <is>
          <t>Construction</t>
        </is>
      </c>
      <c r="D461" t="n">
        <v>-224</v>
      </c>
      <c r="E461" t="n">
        <v>0</v>
      </c>
      <c r="F461" t="n">
        <v>0</v>
      </c>
      <c r="G461" t="n">
        <v>0</v>
      </c>
      <c r="H461" t="n">
        <v>-1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-225</v>
      </c>
    </row>
    <row r="462">
      <c r="A462" s="39" t="n">
        <v>45823</v>
      </c>
      <c r="B462" t="inlineStr">
        <is>
          <t>Jun 01-15, 2025</t>
        </is>
      </c>
      <c r="C462" t="inlineStr">
        <is>
          <t>Construction Materials</t>
        </is>
      </c>
      <c r="D462" t="n">
        <v>-584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-584</v>
      </c>
    </row>
    <row r="463">
      <c r="A463" s="39" t="n">
        <v>45823</v>
      </c>
      <c r="B463" t="inlineStr">
        <is>
          <t>Jun 01-15, 2025</t>
        </is>
      </c>
      <c r="C463" t="inlineStr">
        <is>
          <t>Consumer Durables</t>
        </is>
      </c>
      <c r="D463" t="n">
        <v>-1893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-1893</v>
      </c>
    </row>
    <row r="464">
      <c r="A464" s="39" t="n">
        <v>45823</v>
      </c>
      <c r="B464" t="inlineStr">
        <is>
          <t>Jun 01-15, 2025</t>
        </is>
      </c>
      <c r="C464" t="inlineStr">
        <is>
          <t>Consumer Services</t>
        </is>
      </c>
      <c r="D464" t="n">
        <v>-1461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-1461</v>
      </c>
    </row>
    <row r="465">
      <c r="A465" s="39" t="n">
        <v>45823</v>
      </c>
      <c r="B465" t="inlineStr">
        <is>
          <t>Jun 01-15, 2025</t>
        </is>
      </c>
      <c r="C465" t="inlineStr">
        <is>
          <t>Diversified</t>
        </is>
      </c>
      <c r="D465" t="n">
        <v>-353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-353</v>
      </c>
    </row>
    <row r="466">
      <c r="A466" s="39" t="n">
        <v>45823</v>
      </c>
      <c r="B466" t="inlineStr">
        <is>
          <t>Jun 01-15, 2025</t>
        </is>
      </c>
      <c r="C466" t="inlineStr">
        <is>
          <t>Fast Moving Consumer Goods</t>
        </is>
      </c>
      <c r="D466" t="n">
        <v>-3626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-3626</v>
      </c>
    </row>
    <row r="467">
      <c r="A467" s="39" t="n">
        <v>45823</v>
      </c>
      <c r="B467" t="inlineStr">
        <is>
          <t>Jun 01-15, 2025</t>
        </is>
      </c>
      <c r="C467" t="inlineStr">
        <is>
          <t>Financial Services</t>
        </is>
      </c>
      <c r="D467" t="n">
        <v>4685</v>
      </c>
      <c r="E467" t="n">
        <v>-700</v>
      </c>
      <c r="F467" t="n">
        <v>-740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-10</v>
      </c>
      <c r="N467" t="n">
        <v>0</v>
      </c>
      <c r="O467" t="n">
        <v>3235</v>
      </c>
    </row>
    <row r="468">
      <c r="A468" s="39" t="n">
        <v>45823</v>
      </c>
      <c r="B468" t="inlineStr">
        <is>
          <t>Jun 01-15, 2025</t>
        </is>
      </c>
      <c r="C468" t="inlineStr">
        <is>
          <t>Forest Materials</t>
        </is>
      </c>
      <c r="D468" t="n">
        <v>-15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-15</v>
      </c>
    </row>
    <row r="469">
      <c r="A469" s="39" t="n">
        <v>45823</v>
      </c>
      <c r="B469" t="inlineStr">
        <is>
          <t>Jun 01-15, 2025</t>
        </is>
      </c>
      <c r="C469" t="inlineStr">
        <is>
          <t>Healthcare</t>
        </is>
      </c>
      <c r="D469" t="n">
        <v>39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39</v>
      </c>
    </row>
    <row r="470">
      <c r="A470" s="39" t="n">
        <v>45823</v>
      </c>
      <c r="B470" t="inlineStr">
        <is>
          <t>Jun 01-15, 2025</t>
        </is>
      </c>
      <c r="C470" t="inlineStr">
        <is>
          <t>Information Technology</t>
        </is>
      </c>
      <c r="D470" t="n">
        <v>-1713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-1713</v>
      </c>
    </row>
    <row r="471">
      <c r="A471" s="39" t="n">
        <v>45823</v>
      </c>
      <c r="B471" t="inlineStr">
        <is>
          <t>Jun 01-15, 2025</t>
        </is>
      </c>
      <c r="C471" t="inlineStr">
        <is>
          <t>Media, Entertainment &amp; Publication</t>
        </is>
      </c>
      <c r="D471" t="n">
        <v>108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108</v>
      </c>
    </row>
    <row r="472">
      <c r="A472" s="39" t="n">
        <v>45823</v>
      </c>
      <c r="B472" t="inlineStr">
        <is>
          <t>Jun 01-15, 2025</t>
        </is>
      </c>
      <c r="C472" t="inlineStr">
        <is>
          <t>Metals &amp; Mining</t>
        </is>
      </c>
      <c r="D472" t="n">
        <v>-558</v>
      </c>
      <c r="E472" t="n">
        <v>100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-458</v>
      </c>
    </row>
    <row r="473">
      <c r="A473" s="39" t="n">
        <v>45823</v>
      </c>
      <c r="B473" t="inlineStr">
        <is>
          <t>Jun 01-15, 2025</t>
        </is>
      </c>
      <c r="C473" t="inlineStr">
        <is>
          <t>Oil, Gas &amp; Consumable Fuels</t>
        </is>
      </c>
      <c r="D473" t="n">
        <v>1199</v>
      </c>
      <c r="E473" t="n">
        <v>-278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921</v>
      </c>
    </row>
    <row r="474">
      <c r="A474" s="39" t="n">
        <v>45823</v>
      </c>
      <c r="B474" t="inlineStr">
        <is>
          <t>Jun 01-15, 2025</t>
        </is>
      </c>
      <c r="C474" t="inlineStr">
        <is>
          <t>Others</t>
        </is>
      </c>
      <c r="D474" t="n">
        <v>-348</v>
      </c>
      <c r="E474" t="n">
        <v>-7757</v>
      </c>
      <c r="F474" t="n">
        <v>-5812</v>
      </c>
      <c r="G474" t="n">
        <v>0</v>
      </c>
      <c r="H474" t="n">
        <v>0</v>
      </c>
      <c r="I474" t="n">
        <v>258</v>
      </c>
      <c r="J474" t="n">
        <v>67</v>
      </c>
      <c r="K474" t="n">
        <v>-4</v>
      </c>
      <c r="L474" t="n">
        <v>0</v>
      </c>
      <c r="M474" t="n">
        <v>26</v>
      </c>
      <c r="N474" t="n">
        <v>0</v>
      </c>
      <c r="O474" t="n">
        <v>-13570</v>
      </c>
    </row>
    <row r="475">
      <c r="A475" s="39" t="n">
        <v>45823</v>
      </c>
      <c r="B475" t="inlineStr">
        <is>
          <t>Jun 01-15, 2025</t>
        </is>
      </c>
      <c r="C475" t="inlineStr">
        <is>
          <t>Power</t>
        </is>
      </c>
      <c r="D475" t="n">
        <v>-3120</v>
      </c>
      <c r="E475" t="n">
        <v>0</v>
      </c>
      <c r="F475" t="n">
        <v>-5</v>
      </c>
      <c r="G475" t="n">
        <v>0</v>
      </c>
      <c r="H475" t="n">
        <v>-28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-3153</v>
      </c>
    </row>
    <row r="476">
      <c r="A476" s="39" t="n">
        <v>45823</v>
      </c>
      <c r="B476" t="inlineStr">
        <is>
          <t>Jun 01-15, 2025</t>
        </is>
      </c>
      <c r="C476" t="inlineStr">
        <is>
          <t>Realty</t>
        </is>
      </c>
      <c r="D476" t="n">
        <v>431</v>
      </c>
      <c r="E476" t="n">
        <v>-2</v>
      </c>
      <c r="F476" t="n">
        <v>0</v>
      </c>
      <c r="G476" t="n">
        <v>0</v>
      </c>
      <c r="H476" t="n">
        <v>109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538</v>
      </c>
    </row>
    <row r="477">
      <c r="A477" s="39" t="n">
        <v>45823</v>
      </c>
      <c r="B477" t="inlineStr">
        <is>
          <t>Jun 01-15, 2025</t>
        </is>
      </c>
      <c r="C477" t="inlineStr">
        <is>
          <t>Services</t>
        </is>
      </c>
      <c r="D477" t="n">
        <v>403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403</v>
      </c>
    </row>
    <row r="478">
      <c r="A478" s="39" t="n">
        <v>45823</v>
      </c>
      <c r="B478" t="inlineStr">
        <is>
          <t>Jun 01-15, 2025</t>
        </is>
      </c>
      <c r="C478" t="inlineStr">
        <is>
          <t>Sovereign</t>
        </is>
      </c>
      <c r="D478" t="n">
        <v>0</v>
      </c>
      <c r="E478" t="n">
        <v>1319</v>
      </c>
      <c r="F478" t="n">
        <v>36</v>
      </c>
      <c r="G478" t="n">
        <v>-13221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-11866</v>
      </c>
    </row>
    <row r="479">
      <c r="A479" s="39" t="n">
        <v>45823</v>
      </c>
      <c r="B479" t="inlineStr">
        <is>
          <t>Jun 01-15, 2025</t>
        </is>
      </c>
      <c r="C479" t="inlineStr">
        <is>
          <t>Telecommunication</t>
        </is>
      </c>
      <c r="D479" t="n">
        <v>-887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-887</v>
      </c>
    </row>
    <row r="480">
      <c r="A480" s="39" t="n">
        <v>45823</v>
      </c>
      <c r="B480" t="inlineStr">
        <is>
          <t>Jun 01-15, 2025</t>
        </is>
      </c>
      <c r="C480" t="inlineStr">
        <is>
          <t>Textiles</t>
        </is>
      </c>
      <c r="D480" t="n">
        <v>209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209</v>
      </c>
    </row>
    <row r="481">
      <c r="A481" s="39" t="n">
        <v>45823</v>
      </c>
      <c r="B481" t="inlineStr">
        <is>
          <t>Jun 01-15, 2025</t>
        </is>
      </c>
      <c r="C481" t="inlineStr">
        <is>
          <t>Utilities</t>
        </is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</v>
      </c>
    </row>
    <row r="482">
      <c r="A482" s="39" t="n">
        <v>45838</v>
      </c>
      <c r="B482" t="inlineStr">
        <is>
          <t>Jun 16-30, 2025</t>
        </is>
      </c>
      <c r="C482" t="inlineStr">
        <is>
          <t>Automobile and Auto Components</t>
        </is>
      </c>
      <c r="D482" t="n">
        <v>5020</v>
      </c>
      <c r="E482" t="n">
        <v>-6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5014</v>
      </c>
    </row>
    <row r="483">
      <c r="A483" s="39" t="n">
        <v>45838</v>
      </c>
      <c r="B483" t="inlineStr">
        <is>
          <t>Jun 16-30, 2025</t>
        </is>
      </c>
      <c r="C483" t="inlineStr">
        <is>
          <t>Capital Goods</t>
        </is>
      </c>
      <c r="D483" t="n">
        <v>-3022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-3022</v>
      </c>
    </row>
    <row r="484">
      <c r="A484" s="39" t="n">
        <v>45838</v>
      </c>
      <c r="B484" t="inlineStr">
        <is>
          <t>Jun 16-30, 2025</t>
        </is>
      </c>
      <c r="C484" t="inlineStr">
        <is>
          <t>Chemicals</t>
        </is>
      </c>
      <c r="D484" t="n">
        <v>987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987</v>
      </c>
    </row>
    <row r="485">
      <c r="A485" s="39" t="n">
        <v>45838</v>
      </c>
      <c r="B485" t="inlineStr">
        <is>
          <t>Jun 16-30, 2025</t>
        </is>
      </c>
      <c r="C485" t="inlineStr">
        <is>
          <t>Construction</t>
        </is>
      </c>
      <c r="D485" t="n">
        <v>-14</v>
      </c>
      <c r="E485" t="n">
        <v>250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237</v>
      </c>
    </row>
    <row r="486">
      <c r="A486" s="39" t="n">
        <v>45838</v>
      </c>
      <c r="B486" t="inlineStr">
        <is>
          <t>Jun 16-30, 2025</t>
        </is>
      </c>
      <c r="C486" t="inlineStr">
        <is>
          <t>Construction Materials</t>
        </is>
      </c>
      <c r="D486" t="n">
        <v>842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842</v>
      </c>
    </row>
    <row r="487">
      <c r="A487" s="39" t="n">
        <v>45838</v>
      </c>
      <c r="B487" t="inlineStr">
        <is>
          <t>Jun 16-30, 2025</t>
        </is>
      </c>
      <c r="C487" t="inlineStr">
        <is>
          <t>Consumer Durables</t>
        </is>
      </c>
      <c r="D487" t="n">
        <v>-600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-600</v>
      </c>
    </row>
    <row r="488">
      <c r="A488" s="39" t="n">
        <v>45838</v>
      </c>
      <c r="B488" t="inlineStr">
        <is>
          <t>Jun 16-30, 2025</t>
        </is>
      </c>
      <c r="C488" t="inlineStr">
        <is>
          <t>Consumer Services</t>
        </is>
      </c>
      <c r="D488" t="n">
        <v>2809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2809</v>
      </c>
    </row>
    <row r="489">
      <c r="A489" s="39" t="n">
        <v>45838</v>
      </c>
      <c r="B489" t="inlineStr">
        <is>
          <t>Jun 16-30, 2025</t>
        </is>
      </c>
      <c r="C489" t="inlineStr">
        <is>
          <t>Diversified</t>
        </is>
      </c>
      <c r="D489" t="n">
        <v>-102</v>
      </c>
      <c r="E489" t="n">
        <v>25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-77</v>
      </c>
    </row>
    <row r="490">
      <c r="A490" s="39" t="n">
        <v>45838</v>
      </c>
      <c r="B490" t="inlineStr">
        <is>
          <t>Jun 16-30, 2025</t>
        </is>
      </c>
      <c r="C490" t="inlineStr">
        <is>
          <t>Fast Moving Consumer Goods</t>
        </is>
      </c>
      <c r="D490" t="n">
        <v>-359</v>
      </c>
      <c r="E490" t="n">
        <v>-12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-371</v>
      </c>
    </row>
    <row r="491">
      <c r="A491" s="39" t="n">
        <v>45838</v>
      </c>
      <c r="B491" t="inlineStr">
        <is>
          <t>Jun 16-30, 2025</t>
        </is>
      </c>
      <c r="C491" t="inlineStr">
        <is>
          <t>Financial Services</t>
        </is>
      </c>
      <c r="D491" t="n">
        <v>4261</v>
      </c>
      <c r="E491" t="n">
        <v>291</v>
      </c>
      <c r="F491" t="n">
        <v>60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3</v>
      </c>
      <c r="N491" t="n">
        <v>0</v>
      </c>
      <c r="O491" t="n">
        <v>4615</v>
      </c>
    </row>
    <row r="492">
      <c r="A492" s="39" t="n">
        <v>45838</v>
      </c>
      <c r="B492" t="inlineStr">
        <is>
          <t>Jun 16-30, 2025</t>
        </is>
      </c>
      <c r="C492" t="inlineStr">
        <is>
          <t>Forest Materials</t>
        </is>
      </c>
      <c r="D492" t="n">
        <v>-27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-27</v>
      </c>
    </row>
    <row r="493">
      <c r="A493" s="39" t="n">
        <v>45838</v>
      </c>
      <c r="B493" t="inlineStr">
        <is>
          <t>Jun 16-30, 2025</t>
        </is>
      </c>
      <c r="C493" t="inlineStr">
        <is>
          <t>Healthcare</t>
        </is>
      </c>
      <c r="D493" t="n">
        <v>-442</v>
      </c>
      <c r="E493" t="n">
        <v>-43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-485</v>
      </c>
    </row>
    <row r="494">
      <c r="A494" s="39" t="n">
        <v>45838</v>
      </c>
      <c r="B494" t="inlineStr">
        <is>
          <t>Jun 16-30, 2025</t>
        </is>
      </c>
      <c r="C494" t="inlineStr">
        <is>
          <t>Information Technology</t>
        </is>
      </c>
      <c r="D494" t="n">
        <v>2879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2879</v>
      </c>
    </row>
    <row r="495">
      <c r="A495" s="39" t="n">
        <v>45838</v>
      </c>
      <c r="B495" t="inlineStr">
        <is>
          <t>Jun 16-30, 2025</t>
        </is>
      </c>
      <c r="C495" t="inlineStr">
        <is>
          <t>Media, Entertainment &amp; Publication</t>
        </is>
      </c>
      <c r="D495" t="n">
        <v>-74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-74</v>
      </c>
    </row>
    <row r="496">
      <c r="A496" s="39" t="n">
        <v>45838</v>
      </c>
      <c r="B496" t="inlineStr">
        <is>
          <t>Jun 16-30, 2025</t>
        </is>
      </c>
      <c r="C496" t="inlineStr">
        <is>
          <t>Metals &amp; Mining</t>
        </is>
      </c>
      <c r="D496" t="n">
        <v>201</v>
      </c>
      <c r="E496" t="n">
        <v>-10</v>
      </c>
      <c r="F496" t="n">
        <v>-1250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-1059</v>
      </c>
    </row>
    <row r="497">
      <c r="A497" s="39" t="n">
        <v>45838</v>
      </c>
      <c r="B497" t="inlineStr">
        <is>
          <t>Jun 16-30, 2025</t>
        </is>
      </c>
      <c r="C497" t="inlineStr">
        <is>
          <t>Oil, Gas &amp; Consumable Fuels</t>
        </is>
      </c>
      <c r="D497" t="n">
        <v>4938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4938</v>
      </c>
    </row>
    <row r="498">
      <c r="A498" s="39" t="n">
        <v>45838</v>
      </c>
      <c r="B498" t="inlineStr">
        <is>
          <t>Jun 16-30, 2025</t>
        </is>
      </c>
      <c r="C498" t="inlineStr">
        <is>
          <t>Others</t>
        </is>
      </c>
      <c r="D498" t="n">
        <v>1453</v>
      </c>
      <c r="E498" t="n">
        <v>771</v>
      </c>
      <c r="F498" t="n">
        <v>1330</v>
      </c>
      <c r="G498" t="n">
        <v>0</v>
      </c>
      <c r="H498" t="n">
        <v>0</v>
      </c>
      <c r="I498" t="n">
        <v>171</v>
      </c>
      <c r="J498" t="n">
        <v>-298</v>
      </c>
      <c r="K498" t="n">
        <v>2</v>
      </c>
      <c r="L498" t="n">
        <v>0</v>
      </c>
      <c r="M498" t="n">
        <v>9</v>
      </c>
      <c r="N498" t="n">
        <v>0</v>
      </c>
      <c r="O498" t="n">
        <v>3438</v>
      </c>
    </row>
    <row r="499">
      <c r="A499" s="39" t="n">
        <v>45838</v>
      </c>
      <c r="B499" t="inlineStr">
        <is>
          <t>Jun 16-30, 2025</t>
        </is>
      </c>
      <c r="C499" t="inlineStr">
        <is>
          <t>Power</t>
        </is>
      </c>
      <c r="D499" t="n">
        <v>-3191</v>
      </c>
      <c r="E499" t="n">
        <v>-26</v>
      </c>
      <c r="F499" t="n">
        <v>0</v>
      </c>
      <c r="G499" t="n">
        <v>0</v>
      </c>
      <c r="H499" t="n">
        <v>19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-3198</v>
      </c>
    </row>
    <row r="500">
      <c r="A500" s="39" t="n">
        <v>45838</v>
      </c>
      <c r="B500" t="inlineStr">
        <is>
          <t>Jun 16-30, 2025</t>
        </is>
      </c>
      <c r="C500" t="inlineStr">
        <is>
          <t>Realty</t>
        </is>
      </c>
      <c r="D500" t="n">
        <v>910</v>
      </c>
      <c r="E500" t="n">
        <v>-5</v>
      </c>
      <c r="F500" t="n">
        <v>45</v>
      </c>
      <c r="G500" t="n">
        <v>0</v>
      </c>
      <c r="H500" t="n">
        <v>50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1000</v>
      </c>
    </row>
    <row r="501">
      <c r="A501" s="39" t="n">
        <v>45838</v>
      </c>
      <c r="B501" t="inlineStr">
        <is>
          <t>Jun 16-30, 2025</t>
        </is>
      </c>
      <c r="C501" t="inlineStr">
        <is>
          <t>Services</t>
        </is>
      </c>
      <c r="D501" t="n">
        <v>-57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-57</v>
      </c>
    </row>
    <row r="502">
      <c r="A502" s="39" t="n">
        <v>45838</v>
      </c>
      <c r="B502" t="inlineStr">
        <is>
          <t>Jun 16-30, 2025</t>
        </is>
      </c>
      <c r="C502" t="inlineStr">
        <is>
          <t>Sovereign</t>
        </is>
      </c>
      <c r="D502" t="n">
        <v>0</v>
      </c>
      <c r="E502" t="n">
        <v>-35</v>
      </c>
      <c r="F502" t="n">
        <v>-29</v>
      </c>
      <c r="G502" t="n">
        <v>3181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3117</v>
      </c>
    </row>
    <row r="503">
      <c r="A503" s="39" t="n">
        <v>45838</v>
      </c>
      <c r="B503" t="inlineStr">
        <is>
          <t>Jun 16-30, 2025</t>
        </is>
      </c>
      <c r="C503" t="inlineStr">
        <is>
          <t>Telecommunication</t>
        </is>
      </c>
      <c r="D503" t="n">
        <v>3620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3620</v>
      </c>
    </row>
    <row r="504">
      <c r="A504" s="39" t="n">
        <v>45838</v>
      </c>
      <c r="B504" t="inlineStr">
        <is>
          <t>Jun 16-30, 2025</t>
        </is>
      </c>
      <c r="C504" t="inlineStr">
        <is>
          <t>Textiles</t>
        </is>
      </c>
      <c r="D504" t="n">
        <v>-5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-5</v>
      </c>
    </row>
    <row r="505">
      <c r="A505" s="39" t="n">
        <v>45838</v>
      </c>
      <c r="B505" t="inlineStr">
        <is>
          <t>Jun 16-30, 2025</t>
        </is>
      </c>
      <c r="C505" t="inlineStr">
        <is>
          <t>Utilities</t>
        </is>
      </c>
      <c r="D505" t="n">
        <v>-36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-36</v>
      </c>
    </row>
    <row r="506">
      <c r="A506" s="39" t="n">
        <v>45853</v>
      </c>
      <c r="B506" t="inlineStr">
        <is>
          <t>Jul 01-15, 2025</t>
        </is>
      </c>
      <c r="C506" t="inlineStr">
        <is>
          <t>Automobile and Auto Components</t>
        </is>
      </c>
      <c r="D506" t="n">
        <v>-1159</v>
      </c>
      <c r="E506" t="n">
        <v>25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-1134</v>
      </c>
    </row>
    <row r="507">
      <c r="A507" s="39" t="n">
        <v>45853</v>
      </c>
      <c r="B507" t="inlineStr">
        <is>
          <t>Jul 01-15, 2025</t>
        </is>
      </c>
      <c r="C507" t="inlineStr">
        <is>
          <t>Capital Goods</t>
        </is>
      </c>
      <c r="D507" t="n">
        <v>922</v>
      </c>
      <c r="E507" t="n">
        <v>-22</v>
      </c>
      <c r="F507" t="n">
        <v>-1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899</v>
      </c>
    </row>
    <row r="508">
      <c r="A508" s="39" t="n">
        <v>45853</v>
      </c>
      <c r="B508" t="inlineStr">
        <is>
          <t>Jul 01-15, 2025</t>
        </is>
      </c>
      <c r="C508" t="inlineStr">
        <is>
          <t>Chemicals</t>
        </is>
      </c>
      <c r="D508" t="n">
        <v>168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168</v>
      </c>
    </row>
    <row r="509">
      <c r="A509" s="39" t="n">
        <v>45853</v>
      </c>
      <c r="B509" t="inlineStr">
        <is>
          <t>Jul 01-15, 2025</t>
        </is>
      </c>
      <c r="C509" t="inlineStr">
        <is>
          <t>Construction</t>
        </is>
      </c>
      <c r="D509" t="n">
        <v>-38</v>
      </c>
      <c r="E509" t="n">
        <v>0</v>
      </c>
      <c r="F509" t="n">
        <v>-100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-137</v>
      </c>
    </row>
    <row r="510">
      <c r="A510" s="39" t="n">
        <v>45853</v>
      </c>
      <c r="B510" t="inlineStr">
        <is>
          <t>Jul 01-15, 2025</t>
        </is>
      </c>
      <c r="C510" t="inlineStr">
        <is>
          <t>Construction Materials</t>
        </is>
      </c>
      <c r="D510" t="n">
        <v>136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136</v>
      </c>
    </row>
    <row r="511">
      <c r="A511" s="39" t="n">
        <v>45853</v>
      </c>
      <c r="B511" t="inlineStr">
        <is>
          <t>Jul 01-15, 2025</t>
        </is>
      </c>
      <c r="C511" t="inlineStr">
        <is>
          <t>Consumer Durables</t>
        </is>
      </c>
      <c r="D511" t="n">
        <v>-1292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-1292</v>
      </c>
    </row>
    <row r="512">
      <c r="A512" s="39" t="n">
        <v>45853</v>
      </c>
      <c r="B512" t="inlineStr">
        <is>
          <t>Jul 01-15, 2025</t>
        </is>
      </c>
      <c r="C512" t="inlineStr">
        <is>
          <t>Consumer Services</t>
        </is>
      </c>
      <c r="D512" t="n">
        <v>953</v>
      </c>
      <c r="E512" t="n">
        <v>-4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949</v>
      </c>
    </row>
    <row r="513">
      <c r="A513" s="39" t="n">
        <v>45853</v>
      </c>
      <c r="B513" t="inlineStr">
        <is>
          <t>Jul 01-15, 2025</t>
        </is>
      </c>
      <c r="C513" t="inlineStr">
        <is>
          <t>Diversified</t>
        </is>
      </c>
      <c r="D513" t="n">
        <v>-22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-22</v>
      </c>
    </row>
    <row r="514">
      <c r="A514" s="39" t="n">
        <v>45853</v>
      </c>
      <c r="B514" t="inlineStr">
        <is>
          <t>Jul 01-15, 2025</t>
        </is>
      </c>
      <c r="C514" t="inlineStr">
        <is>
          <t>Fast Moving Consumer Goods</t>
        </is>
      </c>
      <c r="D514" t="n">
        <v>-1428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-1428</v>
      </c>
    </row>
    <row r="515">
      <c r="A515" s="39" t="n">
        <v>45853</v>
      </c>
      <c r="B515" t="inlineStr">
        <is>
          <t>Jul 01-15, 2025</t>
        </is>
      </c>
      <c r="C515" t="inlineStr">
        <is>
          <t>Financial Services</t>
        </is>
      </c>
      <c r="D515" t="n">
        <v>820</v>
      </c>
      <c r="E515" t="n">
        <v>991</v>
      </c>
      <c r="F515" t="n">
        <v>-359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6</v>
      </c>
      <c r="N515" t="n">
        <v>0</v>
      </c>
      <c r="O515" t="n">
        <v>1458</v>
      </c>
    </row>
    <row r="516">
      <c r="A516" s="39" t="n">
        <v>45853</v>
      </c>
      <c r="B516" t="inlineStr">
        <is>
          <t>Jul 01-15, 2025</t>
        </is>
      </c>
      <c r="C516" t="inlineStr">
        <is>
          <t>Forest Materials</t>
        </is>
      </c>
      <c r="D516" t="n">
        <v>14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14</v>
      </c>
    </row>
    <row r="517">
      <c r="A517" s="39" t="n">
        <v>45853</v>
      </c>
      <c r="B517" t="inlineStr">
        <is>
          <t>Jul 01-15, 2025</t>
        </is>
      </c>
      <c r="C517" t="inlineStr">
        <is>
          <t>Healthcare</t>
        </is>
      </c>
      <c r="D517" t="n">
        <v>-757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-757</v>
      </c>
    </row>
    <row r="518">
      <c r="A518" s="39" t="n">
        <v>45853</v>
      </c>
      <c r="B518" t="inlineStr">
        <is>
          <t>Jul 01-15, 2025</t>
        </is>
      </c>
      <c r="C518" t="inlineStr">
        <is>
          <t>Information Technology</t>
        </is>
      </c>
      <c r="D518" t="n">
        <v>-5479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-5479</v>
      </c>
    </row>
    <row r="519">
      <c r="A519" s="39" t="n">
        <v>45853</v>
      </c>
      <c r="B519" t="inlineStr">
        <is>
          <t>Jul 01-15, 2025</t>
        </is>
      </c>
      <c r="C519" t="inlineStr">
        <is>
          <t>Media, Entertainment &amp; Publication</t>
        </is>
      </c>
      <c r="D519" t="n">
        <v>-91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-91</v>
      </c>
    </row>
    <row r="520">
      <c r="A520" s="39" t="n">
        <v>45853</v>
      </c>
      <c r="B520" t="inlineStr">
        <is>
          <t>Jul 01-15, 2025</t>
        </is>
      </c>
      <c r="C520" t="inlineStr">
        <is>
          <t>Metals &amp; Mining</t>
        </is>
      </c>
      <c r="D520" t="n">
        <v>1724</v>
      </c>
      <c r="E520" t="n">
        <v>-15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1709</v>
      </c>
    </row>
    <row r="521">
      <c r="A521" s="39" t="n">
        <v>45853</v>
      </c>
      <c r="B521" t="inlineStr">
        <is>
          <t>Jul 01-15, 2025</t>
        </is>
      </c>
      <c r="C521" t="inlineStr">
        <is>
          <t>Oil, Gas &amp; Consumable Fuels</t>
        </is>
      </c>
      <c r="D521" t="n">
        <v>905</v>
      </c>
      <c r="E521" t="n">
        <v>-51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854</v>
      </c>
    </row>
    <row r="522">
      <c r="A522" s="39" t="n">
        <v>45853</v>
      </c>
      <c r="B522" t="inlineStr">
        <is>
          <t>Jul 01-15, 2025</t>
        </is>
      </c>
      <c r="C522" t="inlineStr">
        <is>
          <t>Others</t>
        </is>
      </c>
      <c r="D522" t="n">
        <v>-17</v>
      </c>
      <c r="E522" t="n">
        <v>-20</v>
      </c>
      <c r="F522" t="n">
        <v>2060</v>
      </c>
      <c r="G522" t="n">
        <v>0</v>
      </c>
      <c r="H522" t="n">
        <v>0</v>
      </c>
      <c r="I522" t="n">
        <v>132</v>
      </c>
      <c r="J522" t="n">
        <v>350</v>
      </c>
      <c r="K522" t="n">
        <v>-75</v>
      </c>
      <c r="L522" t="n">
        <v>0</v>
      </c>
      <c r="M522" t="n">
        <v>51</v>
      </c>
      <c r="N522" t="n">
        <v>0</v>
      </c>
      <c r="O522" t="n">
        <v>2481</v>
      </c>
    </row>
    <row r="523">
      <c r="A523" s="39" t="n">
        <v>45853</v>
      </c>
      <c r="B523" t="inlineStr">
        <is>
          <t>Jul 01-15, 2025</t>
        </is>
      </c>
      <c r="C523" t="inlineStr">
        <is>
          <t>Power</t>
        </is>
      </c>
      <c r="D523" t="n">
        <v>203</v>
      </c>
      <c r="E523" t="n">
        <v>-44</v>
      </c>
      <c r="F523" t="n">
        <v>0</v>
      </c>
      <c r="G523" t="n">
        <v>0</v>
      </c>
      <c r="H523" t="n">
        <v>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165</v>
      </c>
    </row>
    <row r="524">
      <c r="A524" s="39" t="n">
        <v>45853</v>
      </c>
      <c r="B524" t="inlineStr">
        <is>
          <t>Jul 01-15, 2025</t>
        </is>
      </c>
      <c r="C524" t="inlineStr">
        <is>
          <t>Realty</t>
        </is>
      </c>
      <c r="D524" t="n">
        <v>-249</v>
      </c>
      <c r="E524" t="n">
        <v>97</v>
      </c>
      <c r="F524" t="n">
        <v>-180</v>
      </c>
      <c r="G524" t="n">
        <v>0</v>
      </c>
      <c r="H524" t="n">
        <v>-420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-752</v>
      </c>
    </row>
    <row r="525">
      <c r="A525" s="39" t="n">
        <v>45853</v>
      </c>
      <c r="B525" t="inlineStr">
        <is>
          <t>Jul 01-15, 2025</t>
        </is>
      </c>
      <c r="C525" t="inlineStr">
        <is>
          <t>Services</t>
        </is>
      </c>
      <c r="D525" t="n">
        <v>2733</v>
      </c>
      <c r="E525" t="n">
        <v>-2</v>
      </c>
      <c r="F525" t="n">
        <v>0</v>
      </c>
      <c r="G525" t="n">
        <v>0</v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2734</v>
      </c>
    </row>
    <row r="526">
      <c r="A526" s="39" t="n">
        <v>45853</v>
      </c>
      <c r="B526" t="inlineStr">
        <is>
          <t>Jul 01-15, 2025</t>
        </is>
      </c>
      <c r="C526" t="inlineStr">
        <is>
          <t>Sovereign</t>
        </is>
      </c>
      <c r="D526" t="n">
        <v>0</v>
      </c>
      <c r="E526" t="n">
        <v>379</v>
      </c>
      <c r="F526" t="n">
        <v>0</v>
      </c>
      <c r="G526" t="n">
        <v>7855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8234</v>
      </c>
    </row>
    <row r="527">
      <c r="A527" s="39" t="n">
        <v>45853</v>
      </c>
      <c r="B527" t="inlineStr">
        <is>
          <t>Jul 01-15, 2025</t>
        </is>
      </c>
      <c r="C527" t="inlineStr">
        <is>
          <t>Telecommunication</t>
        </is>
      </c>
      <c r="D527" t="n">
        <v>283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283</v>
      </c>
    </row>
    <row r="528">
      <c r="A528" s="39" t="n">
        <v>45853</v>
      </c>
      <c r="B528" t="inlineStr">
        <is>
          <t>Jul 01-15, 2025</t>
        </is>
      </c>
      <c r="C528" t="inlineStr">
        <is>
          <t>Textiles</t>
        </is>
      </c>
      <c r="D528" t="n">
        <v>234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234</v>
      </c>
    </row>
    <row r="529">
      <c r="A529" s="39" t="n">
        <v>45853</v>
      </c>
      <c r="B529" t="inlineStr">
        <is>
          <t>Jul 01-15, 2025</t>
        </is>
      </c>
      <c r="C529" t="inlineStr">
        <is>
          <t>Utilities</t>
        </is>
      </c>
      <c r="D529" t="n">
        <v>-9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-9</v>
      </c>
    </row>
    <row r="530">
      <c r="A530" s="39" t="n">
        <v>45869</v>
      </c>
      <c r="B530" t="inlineStr">
        <is>
          <t>Jul 16-31, 2025</t>
        </is>
      </c>
      <c r="C530" t="inlineStr">
        <is>
          <t>Automobile and Auto Components</t>
        </is>
      </c>
      <c r="D530" t="n">
        <v>-2425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-2425</v>
      </c>
    </row>
    <row r="531">
      <c r="A531" s="39" t="n">
        <v>45869</v>
      </c>
      <c r="B531" t="inlineStr">
        <is>
          <t>Jul 16-31, 2025</t>
        </is>
      </c>
      <c r="C531" t="inlineStr">
        <is>
          <t>Capital Goods</t>
        </is>
      </c>
      <c r="D531" t="n">
        <v>-617</v>
      </c>
      <c r="E531" t="n">
        <v>-7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-624</v>
      </c>
    </row>
    <row r="532">
      <c r="A532" s="39" t="n">
        <v>45869</v>
      </c>
      <c r="B532" t="inlineStr">
        <is>
          <t>Jul 16-31, 2025</t>
        </is>
      </c>
      <c r="C532" t="inlineStr">
        <is>
          <t>Chemicals</t>
        </is>
      </c>
      <c r="D532" t="n">
        <v>961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961</v>
      </c>
    </row>
    <row r="533">
      <c r="A533" s="39" t="n">
        <v>45869</v>
      </c>
      <c r="B533" t="inlineStr">
        <is>
          <t>Jul 16-31, 2025</t>
        </is>
      </c>
      <c r="C533" t="inlineStr">
        <is>
          <t>Construction</t>
        </is>
      </c>
      <c r="D533" t="n">
        <v>-1316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-1316</v>
      </c>
    </row>
    <row r="534">
      <c r="A534" s="39" t="n">
        <v>45869</v>
      </c>
      <c r="B534" t="inlineStr">
        <is>
          <t>Jul 16-31, 2025</t>
        </is>
      </c>
      <c r="C534" t="inlineStr">
        <is>
          <t>Construction Materials</t>
        </is>
      </c>
      <c r="D534" t="n">
        <v>193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193</v>
      </c>
    </row>
    <row r="535">
      <c r="A535" s="39" t="n">
        <v>45869</v>
      </c>
      <c r="B535" t="inlineStr">
        <is>
          <t>Jul 16-31, 2025</t>
        </is>
      </c>
      <c r="C535" t="inlineStr">
        <is>
          <t>Consumer Durables</t>
        </is>
      </c>
      <c r="D535" t="n">
        <v>-1322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-1322</v>
      </c>
    </row>
    <row r="536">
      <c r="A536" s="39" t="n">
        <v>45869</v>
      </c>
      <c r="B536" t="inlineStr">
        <is>
          <t>Jul 16-31, 2025</t>
        </is>
      </c>
      <c r="C536" t="inlineStr">
        <is>
          <t>Consumer Services</t>
        </is>
      </c>
      <c r="D536" t="n">
        <v>2064</v>
      </c>
      <c r="E536" t="n">
        <v>-72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1992</v>
      </c>
    </row>
    <row r="537">
      <c r="A537" s="39" t="n">
        <v>45869</v>
      </c>
      <c r="B537" t="inlineStr">
        <is>
          <t>Jul 16-31, 2025</t>
        </is>
      </c>
      <c r="C537" t="inlineStr">
        <is>
          <t>Diversified</t>
        </is>
      </c>
      <c r="D537" t="n">
        <v>-35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-35</v>
      </c>
    </row>
    <row r="538">
      <c r="A538" s="39" t="n">
        <v>45869</v>
      </c>
      <c r="B538" t="inlineStr">
        <is>
          <t>Jul 16-31, 2025</t>
        </is>
      </c>
      <c r="C538" t="inlineStr">
        <is>
          <t>Fast Moving Consumer Goods</t>
        </is>
      </c>
      <c r="D538" t="n">
        <v>2986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2986</v>
      </c>
    </row>
    <row r="539">
      <c r="A539" s="39" t="n">
        <v>45869</v>
      </c>
      <c r="B539" t="inlineStr">
        <is>
          <t>Jul 16-31, 2025</t>
        </is>
      </c>
      <c r="C539" t="inlineStr">
        <is>
          <t>Financial Services</t>
        </is>
      </c>
      <c r="D539" t="n">
        <v>-6720</v>
      </c>
      <c r="E539" t="n">
        <v>-262</v>
      </c>
      <c r="F539" t="n">
        <v>-861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</v>
      </c>
      <c r="N539" t="n">
        <v>0</v>
      </c>
      <c r="O539" t="n">
        <v>-7841</v>
      </c>
    </row>
    <row r="540">
      <c r="A540" s="39" t="n">
        <v>45869</v>
      </c>
      <c r="B540" t="inlineStr">
        <is>
          <t>Jul 16-31, 2025</t>
        </is>
      </c>
      <c r="C540" t="inlineStr">
        <is>
          <t>Forest Materials</t>
        </is>
      </c>
      <c r="D540" t="n">
        <v>25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25</v>
      </c>
    </row>
    <row r="541">
      <c r="A541" s="39" t="n">
        <v>45869</v>
      </c>
      <c r="B541" t="inlineStr">
        <is>
          <t>Jul 16-31, 2025</t>
        </is>
      </c>
      <c r="C541" t="inlineStr">
        <is>
          <t>Healthcare</t>
        </is>
      </c>
      <c r="D541" t="n">
        <v>700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700</v>
      </c>
    </row>
    <row r="542">
      <c r="A542" s="39" t="n">
        <v>45869</v>
      </c>
      <c r="B542" t="inlineStr">
        <is>
          <t>Jul 16-31, 2025</t>
        </is>
      </c>
      <c r="C542" t="inlineStr">
        <is>
          <t>Information Technology</t>
        </is>
      </c>
      <c r="D542" t="n">
        <v>-14422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-14422</v>
      </c>
    </row>
    <row r="543">
      <c r="A543" s="39" t="n">
        <v>45869</v>
      </c>
      <c r="B543" t="inlineStr">
        <is>
          <t>Jul 16-31, 2025</t>
        </is>
      </c>
      <c r="C543" t="inlineStr">
        <is>
          <t>Media, Entertainment &amp; Publication</t>
        </is>
      </c>
      <c r="D543" t="n">
        <v>-106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-106</v>
      </c>
    </row>
    <row r="544">
      <c r="A544" s="39" t="n">
        <v>45869</v>
      </c>
      <c r="B544" t="inlineStr">
        <is>
          <t>Jul 16-31, 2025</t>
        </is>
      </c>
      <c r="C544" t="inlineStr">
        <is>
          <t>Metals &amp; Mining</t>
        </is>
      </c>
      <c r="D544" t="n">
        <v>1641</v>
      </c>
      <c r="E544" t="n">
        <v>76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1717</v>
      </c>
    </row>
    <row r="545">
      <c r="A545" s="39" t="n">
        <v>45869</v>
      </c>
      <c r="B545" t="inlineStr">
        <is>
          <t>Jul 16-31, 2025</t>
        </is>
      </c>
      <c r="C545" t="inlineStr">
        <is>
          <t>Oil, Gas &amp; Consumable Fuels</t>
        </is>
      </c>
      <c r="D545" t="n">
        <v>-4177</v>
      </c>
      <c r="E545" t="n">
        <v>-27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-4204</v>
      </c>
    </row>
    <row r="546">
      <c r="A546" s="39" t="n">
        <v>45869</v>
      </c>
      <c r="B546" t="inlineStr">
        <is>
          <t>Jul 16-31, 2025</t>
        </is>
      </c>
      <c r="C546" t="inlineStr">
        <is>
          <t>Others</t>
        </is>
      </c>
      <c r="D546" t="n">
        <v>8153</v>
      </c>
      <c r="E546" t="n">
        <v>28</v>
      </c>
      <c r="F546" t="n">
        <v>3685</v>
      </c>
      <c r="G546" t="n">
        <v>0</v>
      </c>
      <c r="H546" t="n">
        <v>0</v>
      </c>
      <c r="I546" t="n">
        <v>445</v>
      </c>
      <c r="J546" t="n">
        <v>-64</v>
      </c>
      <c r="K546" t="n">
        <v>-4</v>
      </c>
      <c r="L546" t="n">
        <v>0</v>
      </c>
      <c r="M546" t="n">
        <v>12</v>
      </c>
      <c r="N546" t="n">
        <v>0</v>
      </c>
      <c r="O546" t="n">
        <v>12255</v>
      </c>
    </row>
    <row r="547">
      <c r="A547" s="39" t="n">
        <v>45869</v>
      </c>
      <c r="B547" t="inlineStr">
        <is>
          <t>Jul 16-31, 2025</t>
        </is>
      </c>
      <c r="C547" t="inlineStr">
        <is>
          <t>Power</t>
        </is>
      </c>
      <c r="D547" t="n">
        <v>-141</v>
      </c>
      <c r="E547" t="n">
        <v>0</v>
      </c>
      <c r="F547" t="n">
        <v>0</v>
      </c>
      <c r="G547" t="n">
        <v>0</v>
      </c>
      <c r="H547" t="n">
        <v>-20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-161</v>
      </c>
    </row>
    <row r="548">
      <c r="A548" s="39" t="n">
        <v>45869</v>
      </c>
      <c r="B548" t="inlineStr">
        <is>
          <t>Jul 16-31, 2025</t>
        </is>
      </c>
      <c r="C548" t="inlineStr">
        <is>
          <t>Realty</t>
        </is>
      </c>
      <c r="D548" t="n">
        <v>-3684</v>
      </c>
      <c r="E548" t="n">
        <v>0</v>
      </c>
      <c r="F548" t="n">
        <v>0</v>
      </c>
      <c r="G548" t="n">
        <v>0</v>
      </c>
      <c r="H548" t="n">
        <v>27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-3657</v>
      </c>
    </row>
    <row r="549">
      <c r="A549" s="39" t="n">
        <v>45869</v>
      </c>
      <c r="B549" t="inlineStr">
        <is>
          <t>Jul 16-31, 2025</t>
        </is>
      </c>
      <c r="C549" t="inlineStr">
        <is>
          <t>Services</t>
        </is>
      </c>
      <c r="D549" t="n">
        <v>724</v>
      </c>
      <c r="E549" t="n">
        <v>-9</v>
      </c>
      <c r="F549" t="n">
        <v>0</v>
      </c>
      <c r="G549" t="n">
        <v>0</v>
      </c>
      <c r="H549" t="n">
        <v>-61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654</v>
      </c>
    </row>
    <row r="550">
      <c r="A550" s="39" t="n">
        <v>45869</v>
      </c>
      <c r="B550" t="inlineStr">
        <is>
          <t>Jul 16-31, 2025</t>
        </is>
      </c>
      <c r="C550" t="inlineStr">
        <is>
          <t>Sovereign</t>
        </is>
      </c>
      <c r="D550" t="n">
        <v>0</v>
      </c>
      <c r="E550" t="n">
        <v>-1295</v>
      </c>
      <c r="F550" t="n">
        <v>52</v>
      </c>
      <c r="G550" t="n">
        <v>-105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-1348</v>
      </c>
    </row>
    <row r="551">
      <c r="A551" s="39" t="n">
        <v>45869</v>
      </c>
      <c r="B551" t="inlineStr">
        <is>
          <t>Jul 16-31, 2025</t>
        </is>
      </c>
      <c r="C551" t="inlineStr">
        <is>
          <t>Telecommunication</t>
        </is>
      </c>
      <c r="D551" t="n">
        <v>1190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1190</v>
      </c>
    </row>
    <row r="552">
      <c r="A552" s="39" t="n">
        <v>45869</v>
      </c>
      <c r="B552" t="inlineStr">
        <is>
          <t>Jul 16-31, 2025</t>
        </is>
      </c>
      <c r="C552" t="inlineStr">
        <is>
          <t>Textiles</t>
        </is>
      </c>
      <c r="D552" t="n">
        <v>42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42</v>
      </c>
    </row>
    <row r="553">
      <c r="A553" s="39" t="n">
        <v>45869</v>
      </c>
      <c r="B553" t="inlineStr">
        <is>
          <t>Jul 16-31, 2025</t>
        </is>
      </c>
      <c r="C553" t="inlineStr">
        <is>
          <t>Utilities</t>
        </is>
      </c>
      <c r="D553" t="n">
        <v>-9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-9</v>
      </c>
    </row>
    <row r="554">
      <c r="A554" s="39" t="n">
        <v>45884</v>
      </c>
      <c r="B554" t="inlineStr">
        <is>
          <t>Aug 01-15, 2025</t>
        </is>
      </c>
      <c r="C554" t="inlineStr">
        <is>
          <t>Automobile and Auto Components</t>
        </is>
      </c>
      <c r="D554" t="n">
        <v>-814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-814</v>
      </c>
    </row>
    <row r="555">
      <c r="A555" s="39" t="n">
        <v>45884</v>
      </c>
      <c r="B555" t="inlineStr">
        <is>
          <t>Aug 01-15, 2025</t>
        </is>
      </c>
      <c r="C555" t="inlineStr">
        <is>
          <t>Capital Goods</t>
        </is>
      </c>
      <c r="D555" t="n">
        <v>1132</v>
      </c>
      <c r="E555" t="n">
        <v>-13</v>
      </c>
      <c r="F555" t="n">
        <v>-1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1118</v>
      </c>
    </row>
    <row r="556">
      <c r="A556" s="39" t="n">
        <v>45884</v>
      </c>
      <c r="B556" t="inlineStr">
        <is>
          <t>Aug 01-15, 2025</t>
        </is>
      </c>
      <c r="C556" t="inlineStr">
        <is>
          <t>Chemicals</t>
        </is>
      </c>
      <c r="D556" t="n">
        <v>410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410</v>
      </c>
    </row>
    <row r="557">
      <c r="A557" s="39" t="n">
        <v>45884</v>
      </c>
      <c r="B557" t="inlineStr">
        <is>
          <t>Aug 01-15, 2025</t>
        </is>
      </c>
      <c r="C557" t="inlineStr">
        <is>
          <t>Construction</t>
        </is>
      </c>
      <c r="D557" t="n">
        <v>1378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1378</v>
      </c>
    </row>
    <row r="558">
      <c r="A558" s="39" t="n">
        <v>45884</v>
      </c>
      <c r="B558" t="inlineStr">
        <is>
          <t>Aug 01-15, 2025</t>
        </is>
      </c>
      <c r="C558" t="inlineStr">
        <is>
          <t>Construction Materials</t>
        </is>
      </c>
      <c r="D558" t="n">
        <v>1690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1690</v>
      </c>
    </row>
    <row r="559">
      <c r="A559" s="39" t="n">
        <v>45884</v>
      </c>
      <c r="B559" t="inlineStr">
        <is>
          <t>Aug 01-15, 2025</t>
        </is>
      </c>
      <c r="C559" t="inlineStr">
        <is>
          <t>Consumer Durables</t>
        </is>
      </c>
      <c r="D559" t="n">
        <v>-1133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-1133</v>
      </c>
    </row>
    <row r="560">
      <c r="A560" s="39" t="n">
        <v>45884</v>
      </c>
      <c r="B560" t="inlineStr">
        <is>
          <t>Aug 01-15, 2025</t>
        </is>
      </c>
      <c r="C560" t="inlineStr">
        <is>
          <t>Consumer Services</t>
        </is>
      </c>
      <c r="D560" t="n">
        <v>-948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-948</v>
      </c>
    </row>
    <row r="561">
      <c r="A561" s="39" t="n">
        <v>45884</v>
      </c>
      <c r="B561" t="inlineStr">
        <is>
          <t>Aug 01-15, 2025</t>
        </is>
      </c>
      <c r="C561" t="inlineStr">
        <is>
          <t>Diversified</t>
        </is>
      </c>
      <c r="D561" t="n">
        <v>-58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-58</v>
      </c>
    </row>
    <row r="562">
      <c r="A562" s="39" t="n">
        <v>45884</v>
      </c>
      <c r="B562" t="inlineStr">
        <is>
          <t>Aug 01-15, 2025</t>
        </is>
      </c>
      <c r="C562" t="inlineStr">
        <is>
          <t>Fast Moving Consumer Goods</t>
        </is>
      </c>
      <c r="D562" t="n">
        <v>-1150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-1150</v>
      </c>
    </row>
    <row r="563">
      <c r="A563" s="39" t="n">
        <v>45884</v>
      </c>
      <c r="B563" t="inlineStr">
        <is>
          <t>Aug 01-15, 2025</t>
        </is>
      </c>
      <c r="C563" t="inlineStr">
        <is>
          <t>Financial Services</t>
        </is>
      </c>
      <c r="D563" t="n">
        <v>-13471</v>
      </c>
      <c r="E563" t="n">
        <v>-143</v>
      </c>
      <c r="F563" t="n">
        <v>-140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-4</v>
      </c>
      <c r="N563" t="n">
        <v>0</v>
      </c>
      <c r="O563" t="n">
        <v>-13758</v>
      </c>
    </row>
    <row r="564">
      <c r="A564" s="39" t="n">
        <v>45884</v>
      </c>
      <c r="B564" t="inlineStr">
        <is>
          <t>Aug 01-15, 2025</t>
        </is>
      </c>
      <c r="C564" t="inlineStr">
        <is>
          <t>Forest Materials</t>
        </is>
      </c>
      <c r="D564" t="n">
        <v>-21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-21</v>
      </c>
    </row>
    <row r="565">
      <c r="A565" s="39" t="n">
        <v>45884</v>
      </c>
      <c r="B565" t="inlineStr">
        <is>
          <t>Aug 01-15, 2025</t>
        </is>
      </c>
      <c r="C565" t="inlineStr">
        <is>
          <t>Healthcare</t>
        </is>
      </c>
      <c r="D565" t="n">
        <v>-2095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-2095</v>
      </c>
    </row>
    <row r="566">
      <c r="A566" s="39" t="n">
        <v>45884</v>
      </c>
      <c r="B566" t="inlineStr">
        <is>
          <t>Aug 01-15, 2025</t>
        </is>
      </c>
      <c r="C566" t="inlineStr">
        <is>
          <t>Information Technology</t>
        </is>
      </c>
      <c r="D566" t="n">
        <v>-6380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-6380</v>
      </c>
    </row>
    <row r="567">
      <c r="A567" s="39" t="n">
        <v>45884</v>
      </c>
      <c r="B567" t="inlineStr">
        <is>
          <t>Aug 01-15, 2025</t>
        </is>
      </c>
      <c r="C567" t="inlineStr">
        <is>
          <t>Media, Entertainment &amp; Publication</t>
        </is>
      </c>
      <c r="D567" t="n">
        <v>-14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-14</v>
      </c>
    </row>
    <row r="568">
      <c r="A568" s="39" t="n">
        <v>45884</v>
      </c>
      <c r="B568" t="inlineStr">
        <is>
          <t>Aug 01-15, 2025</t>
        </is>
      </c>
      <c r="C568" t="inlineStr">
        <is>
          <t>Metals &amp; Mining</t>
        </is>
      </c>
      <c r="D568" t="n">
        <v>606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606</v>
      </c>
    </row>
    <row r="569">
      <c r="A569" s="39" t="n">
        <v>45884</v>
      </c>
      <c r="B569" t="inlineStr">
        <is>
          <t>Aug 01-15, 2025</t>
        </is>
      </c>
      <c r="C569" t="inlineStr">
        <is>
          <t>Oil, Gas &amp; Consumable Fuels</t>
        </is>
      </c>
      <c r="D569" t="n">
        <v>-4091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-4091</v>
      </c>
    </row>
    <row r="570">
      <c r="A570" s="39" t="n">
        <v>45884</v>
      </c>
      <c r="B570" t="inlineStr">
        <is>
          <t>Aug 01-15, 2025</t>
        </is>
      </c>
      <c r="C570" t="inlineStr">
        <is>
          <t>Others</t>
        </is>
      </c>
      <c r="D570" t="n">
        <v>-26</v>
      </c>
      <c r="E570" t="n">
        <v>419</v>
      </c>
      <c r="F570" t="n">
        <v>43</v>
      </c>
      <c r="G570" t="n">
        <v>0</v>
      </c>
      <c r="H570" t="n">
        <v>0</v>
      </c>
      <c r="I570" t="n">
        <v>1678</v>
      </c>
      <c r="J570" t="n">
        <v>74</v>
      </c>
      <c r="K570" t="n">
        <v>-1</v>
      </c>
      <c r="L570" t="n">
        <v>0</v>
      </c>
      <c r="M570" t="n">
        <v>-153</v>
      </c>
      <c r="N570" t="n">
        <v>0</v>
      </c>
      <c r="O570" t="n">
        <v>2034</v>
      </c>
    </row>
    <row r="571">
      <c r="A571" s="39" t="n">
        <v>45884</v>
      </c>
      <c r="B571" t="inlineStr">
        <is>
          <t>Aug 01-15, 2025</t>
        </is>
      </c>
      <c r="C571" t="inlineStr">
        <is>
          <t>Power</t>
        </is>
      </c>
      <c r="D571" t="n">
        <v>-2358</v>
      </c>
      <c r="E571" t="n">
        <v>0</v>
      </c>
      <c r="F571" t="n">
        <v>0</v>
      </c>
      <c r="G571" t="n">
        <v>0</v>
      </c>
      <c r="H571" t="n">
        <v>-1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-2359</v>
      </c>
    </row>
    <row r="572">
      <c r="A572" s="39" t="n">
        <v>45884</v>
      </c>
      <c r="B572" t="inlineStr">
        <is>
          <t>Aug 01-15, 2025</t>
        </is>
      </c>
      <c r="C572" t="inlineStr">
        <is>
          <t>Realty</t>
        </is>
      </c>
      <c r="D572" t="n">
        <v>-1211</v>
      </c>
      <c r="E572" t="n">
        <v>0</v>
      </c>
      <c r="F572" t="n">
        <v>-40</v>
      </c>
      <c r="G572" t="n">
        <v>0</v>
      </c>
      <c r="H572" t="n">
        <v>-151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-1402</v>
      </c>
    </row>
    <row r="573">
      <c r="A573" s="39" t="n">
        <v>45884</v>
      </c>
      <c r="B573" t="inlineStr">
        <is>
          <t>Aug 01-15, 2025</t>
        </is>
      </c>
      <c r="C573" t="inlineStr">
        <is>
          <t>Services</t>
        </is>
      </c>
      <c r="D573" t="n">
        <v>384</v>
      </c>
      <c r="E573" t="n">
        <v>2090</v>
      </c>
      <c r="F573" t="n">
        <v>410</v>
      </c>
      <c r="G573" t="n">
        <v>0</v>
      </c>
      <c r="H573" t="n">
        <v>-4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2880</v>
      </c>
    </row>
    <row r="574">
      <c r="A574" s="39" t="n">
        <v>45884</v>
      </c>
      <c r="B574" t="inlineStr">
        <is>
          <t>Aug 01-15, 2025</t>
        </is>
      </c>
      <c r="C574" t="inlineStr">
        <is>
          <t>Sovereign</t>
        </is>
      </c>
      <c r="D574" t="n">
        <v>0</v>
      </c>
      <c r="E574" t="n">
        <v>2116</v>
      </c>
      <c r="F574" t="n">
        <v>-40</v>
      </c>
      <c r="G574" t="n">
        <v>3127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5203</v>
      </c>
    </row>
    <row r="575">
      <c r="A575" s="39" t="n">
        <v>45884</v>
      </c>
      <c r="B575" t="inlineStr">
        <is>
          <t>Aug 01-15, 2025</t>
        </is>
      </c>
      <c r="C575" t="inlineStr">
        <is>
          <t>Telecommunication</t>
        </is>
      </c>
      <c r="D575" t="n">
        <v>7446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7446</v>
      </c>
    </row>
    <row r="576">
      <c r="A576" s="39" t="n">
        <v>45884</v>
      </c>
      <c r="B576" t="inlineStr">
        <is>
          <t>Aug 01-15, 2025</t>
        </is>
      </c>
      <c r="C576" t="inlineStr">
        <is>
          <t>Textiles</t>
        </is>
      </c>
      <c r="D576" t="n">
        <v>-228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-228</v>
      </c>
    </row>
    <row r="577">
      <c r="A577" s="39" t="n">
        <v>45884</v>
      </c>
      <c r="B577" t="inlineStr">
        <is>
          <t>Aug 01-15, 2025</t>
        </is>
      </c>
      <c r="C577" t="inlineStr">
        <is>
          <t>Utilities</t>
        </is>
      </c>
      <c r="D577" t="n">
        <v>-24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-24</v>
      </c>
    </row>
    <row r="578">
      <c r="A578" s="39" t="n">
        <v>45900</v>
      </c>
      <c r="B578" t="inlineStr">
        <is>
          <t>Aug 16-31, 2025</t>
        </is>
      </c>
      <c r="C578" t="inlineStr">
        <is>
          <t>Automobile and Auto Components</t>
        </is>
      </c>
      <c r="D578" t="n">
        <v>2617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2617</v>
      </c>
    </row>
    <row r="579">
      <c r="A579" s="39" t="n">
        <v>45900</v>
      </c>
      <c r="B579" t="inlineStr">
        <is>
          <t>Aug 16-31, 2025</t>
        </is>
      </c>
      <c r="C579" t="inlineStr">
        <is>
          <t>Capital Goods</t>
        </is>
      </c>
      <c r="D579" t="n">
        <v>764</v>
      </c>
      <c r="E579" t="n">
        <v>-7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757</v>
      </c>
    </row>
    <row r="580">
      <c r="A580" s="39" t="n">
        <v>45900</v>
      </c>
      <c r="B580" t="inlineStr">
        <is>
          <t>Aug 16-31, 2025</t>
        </is>
      </c>
      <c r="C580" t="inlineStr">
        <is>
          <t>Chemicals</t>
        </is>
      </c>
      <c r="D580" t="n">
        <v>1161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1161</v>
      </c>
    </row>
    <row r="581">
      <c r="A581" s="39" t="n">
        <v>45900</v>
      </c>
      <c r="B581" t="inlineStr">
        <is>
          <t>Aug 16-31, 2025</t>
        </is>
      </c>
      <c r="C581" t="inlineStr">
        <is>
          <t>Construction</t>
        </is>
      </c>
      <c r="D581" t="n">
        <v>-22</v>
      </c>
      <c r="E581" t="n">
        <v>0</v>
      </c>
      <c r="F581" t="n">
        <v>0</v>
      </c>
      <c r="G581" t="n">
        <v>0</v>
      </c>
      <c r="H581" t="n">
        <v>22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s="39" t="n">
        <v>45900</v>
      </c>
      <c r="B582" t="inlineStr">
        <is>
          <t>Aug 16-31, 2025</t>
        </is>
      </c>
      <c r="C582" t="inlineStr">
        <is>
          <t>Construction Materials</t>
        </is>
      </c>
      <c r="D582" t="n">
        <v>785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785</v>
      </c>
    </row>
    <row r="583">
      <c r="A583" s="39" t="n">
        <v>45900</v>
      </c>
      <c r="B583" t="inlineStr">
        <is>
          <t>Aug 16-31, 2025</t>
        </is>
      </c>
      <c r="C583" t="inlineStr">
        <is>
          <t>Consumer Durables</t>
        </is>
      </c>
      <c r="D583" t="n">
        <v>-836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-836</v>
      </c>
    </row>
    <row r="584">
      <c r="A584" s="39" t="n">
        <v>45900</v>
      </c>
      <c r="B584" t="inlineStr">
        <is>
          <t>Aug 16-31, 2025</t>
        </is>
      </c>
      <c r="C584" t="inlineStr">
        <is>
          <t>Consumer Services</t>
        </is>
      </c>
      <c r="D584" t="n">
        <v>490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490</v>
      </c>
    </row>
    <row r="585">
      <c r="A585" s="39" t="n">
        <v>45900</v>
      </c>
      <c r="B585" t="inlineStr">
        <is>
          <t>Aug 16-31, 2025</t>
        </is>
      </c>
      <c r="C585" t="inlineStr">
        <is>
          <t>Diversified</t>
        </is>
      </c>
      <c r="D585" t="n">
        <v>-55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-55</v>
      </c>
    </row>
    <row r="586">
      <c r="A586" s="39" t="n">
        <v>45900</v>
      </c>
      <c r="B586" t="inlineStr">
        <is>
          <t>Aug 16-31, 2025</t>
        </is>
      </c>
      <c r="C586" t="inlineStr">
        <is>
          <t>Fast Moving Consumer Goods</t>
        </is>
      </c>
      <c r="D586" t="n">
        <v>53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53</v>
      </c>
    </row>
    <row r="587">
      <c r="A587" s="39" t="n">
        <v>45900</v>
      </c>
      <c r="B587" t="inlineStr">
        <is>
          <t>Aug 16-31, 2025</t>
        </is>
      </c>
      <c r="C587" t="inlineStr">
        <is>
          <t>Financial Services</t>
        </is>
      </c>
      <c r="D587" t="n">
        <v>-9817</v>
      </c>
      <c r="E587" t="n">
        <v>-499</v>
      </c>
      <c r="F587" t="n">
        <v>-1701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-12018</v>
      </c>
    </row>
    <row r="588">
      <c r="A588" s="39" t="n">
        <v>45900</v>
      </c>
      <c r="B588" t="inlineStr">
        <is>
          <t>Aug 16-31, 2025</t>
        </is>
      </c>
      <c r="C588" t="inlineStr">
        <is>
          <t>Forest Materials</t>
        </is>
      </c>
      <c r="D588" t="n">
        <v>-27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-27</v>
      </c>
    </row>
    <row r="589">
      <c r="A589" s="39" t="n">
        <v>45900</v>
      </c>
      <c r="B589" t="inlineStr">
        <is>
          <t>Aug 16-31, 2025</t>
        </is>
      </c>
      <c r="C589" t="inlineStr">
        <is>
          <t>Healthcare</t>
        </is>
      </c>
      <c r="D589" t="n">
        <v>678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678</v>
      </c>
    </row>
    <row r="590">
      <c r="A590" s="39" t="n">
        <v>45900</v>
      </c>
      <c r="B590" t="inlineStr">
        <is>
          <t>Aug 16-31, 2025</t>
        </is>
      </c>
      <c r="C590" t="inlineStr">
        <is>
          <t>Information Technology</t>
        </is>
      </c>
      <c r="D590" t="n">
        <v>-4905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-4905</v>
      </c>
    </row>
    <row r="591">
      <c r="A591" s="39" t="n">
        <v>45900</v>
      </c>
      <c r="B591" t="inlineStr">
        <is>
          <t>Aug 16-31, 2025</t>
        </is>
      </c>
      <c r="C591" t="inlineStr">
        <is>
          <t>Media, Entertainment &amp; Publication</t>
        </is>
      </c>
      <c r="D591" t="n">
        <v>179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179</v>
      </c>
    </row>
    <row r="592">
      <c r="A592" s="39" t="n">
        <v>45900</v>
      </c>
      <c r="B592" t="inlineStr">
        <is>
          <t>Aug 16-31, 2025</t>
        </is>
      </c>
      <c r="C592" t="inlineStr">
        <is>
          <t>Metals &amp; Mining</t>
        </is>
      </c>
      <c r="D592" t="n">
        <v>-1266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-1266</v>
      </c>
    </row>
    <row r="593">
      <c r="A593" s="39" t="n">
        <v>45900</v>
      </c>
      <c r="B593" t="inlineStr">
        <is>
          <t>Aug 16-31, 2025</t>
        </is>
      </c>
      <c r="C593" t="inlineStr">
        <is>
          <t>Oil, Gas &amp; Consumable Fuels</t>
        </is>
      </c>
      <c r="D593" t="n">
        <v>-2017</v>
      </c>
      <c r="E593" t="n">
        <v>-26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-2043</v>
      </c>
    </row>
    <row r="594">
      <c r="A594" s="39" t="n">
        <v>45900</v>
      </c>
      <c r="B594" t="inlineStr">
        <is>
          <t>Aug 16-31, 2025</t>
        </is>
      </c>
      <c r="C594" t="inlineStr">
        <is>
          <t>Others</t>
        </is>
      </c>
      <c r="D594" t="n">
        <v>60</v>
      </c>
      <c r="E594" t="n">
        <v>1020</v>
      </c>
      <c r="F594" t="n">
        <v>545</v>
      </c>
      <c r="G594" t="n">
        <v>0</v>
      </c>
      <c r="H594" t="n">
        <v>0</v>
      </c>
      <c r="I594" t="n">
        <v>128</v>
      </c>
      <c r="J594" t="n">
        <v>-108</v>
      </c>
      <c r="K594" t="n">
        <v>24</v>
      </c>
      <c r="L594" t="n">
        <v>-1</v>
      </c>
      <c r="M594" t="n">
        <v>40</v>
      </c>
      <c r="N594" t="n">
        <v>0</v>
      </c>
      <c r="O594" t="n">
        <v>1708</v>
      </c>
    </row>
    <row r="595">
      <c r="A595" s="39" t="n">
        <v>45900</v>
      </c>
      <c r="B595" t="inlineStr">
        <is>
          <t>Aug 16-31, 2025</t>
        </is>
      </c>
      <c r="C595" t="inlineStr">
        <is>
          <t>Power</t>
        </is>
      </c>
      <c r="D595" t="n">
        <v>-1708</v>
      </c>
      <c r="E595" t="n">
        <v>25</v>
      </c>
      <c r="F595" t="n">
        <v>0</v>
      </c>
      <c r="G595" t="n">
        <v>0</v>
      </c>
      <c r="H595" t="n">
        <v>76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-1607</v>
      </c>
    </row>
    <row r="596">
      <c r="A596" s="39" t="n">
        <v>45900</v>
      </c>
      <c r="B596" t="inlineStr">
        <is>
          <t>Aug 16-31, 2025</t>
        </is>
      </c>
      <c r="C596" t="inlineStr">
        <is>
          <t>Realty</t>
        </is>
      </c>
      <c r="D596" t="n">
        <v>-34</v>
      </c>
      <c r="E596" t="n">
        <v>545</v>
      </c>
      <c r="F596" t="n">
        <v>0</v>
      </c>
      <c r="G596" t="n">
        <v>0</v>
      </c>
      <c r="H596" t="n">
        <v>209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720</v>
      </c>
    </row>
    <row r="597">
      <c r="A597" s="39" t="n">
        <v>45900</v>
      </c>
      <c r="B597" t="inlineStr">
        <is>
          <t>Aug 16-31, 2025</t>
        </is>
      </c>
      <c r="C597" t="inlineStr">
        <is>
          <t>Services</t>
        </is>
      </c>
      <c r="D597" t="n">
        <v>1967</v>
      </c>
      <c r="E597" t="n">
        <v>-100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1867</v>
      </c>
    </row>
    <row r="598">
      <c r="A598" s="39" t="n">
        <v>45900</v>
      </c>
      <c r="B598" t="inlineStr">
        <is>
          <t>Aug 16-31, 2025</t>
        </is>
      </c>
      <c r="C598" t="inlineStr">
        <is>
          <t>Sovereign</t>
        </is>
      </c>
      <c r="D598" t="n">
        <v>0</v>
      </c>
      <c r="E598" t="n">
        <v>1344</v>
      </c>
      <c r="F598" t="n">
        <v>52</v>
      </c>
      <c r="G598" t="n">
        <v>3640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5036</v>
      </c>
    </row>
    <row r="599">
      <c r="A599" s="39" t="n">
        <v>45900</v>
      </c>
      <c r="B599" t="inlineStr">
        <is>
          <t>Aug 16-31, 2025</t>
        </is>
      </c>
      <c r="C599" t="inlineStr">
        <is>
          <t>Telecommunication</t>
        </is>
      </c>
      <c r="D599" t="n">
        <v>-1680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-1680</v>
      </c>
    </row>
    <row r="600">
      <c r="A600" s="39" t="n">
        <v>45900</v>
      </c>
      <c r="B600" t="inlineStr">
        <is>
          <t>Aug 16-31, 2025</t>
        </is>
      </c>
      <c r="C600" t="inlineStr">
        <is>
          <t>Textiles</t>
        </is>
      </c>
      <c r="D600" t="n">
        <v>-422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-422</v>
      </c>
    </row>
    <row r="601">
      <c r="A601" s="39" t="n">
        <v>45900</v>
      </c>
      <c r="B601" t="inlineStr">
        <is>
          <t>Aug 16-31, 2025</t>
        </is>
      </c>
      <c r="C601" t="inlineStr">
        <is>
          <t>Utilities</t>
        </is>
      </c>
      <c r="D601" t="n">
        <v>15</v>
      </c>
      <c r="E601" t="n">
        <v>-6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9</v>
      </c>
    </row>
    <row r="602">
      <c r="A602" s="39" t="n">
        <v>45915</v>
      </c>
      <c r="B602" t="inlineStr">
        <is>
          <t>Sep 01-15, 2025</t>
        </is>
      </c>
      <c r="C602" t="inlineStr">
        <is>
          <t>Automobile and Auto Components</t>
        </is>
      </c>
      <c r="D602" t="n">
        <v>1908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1908</v>
      </c>
    </row>
    <row r="603">
      <c r="A603" s="39" t="n">
        <v>45915</v>
      </c>
      <c r="B603" t="inlineStr">
        <is>
          <t>Sep 01-15, 2025</t>
        </is>
      </c>
      <c r="C603" t="inlineStr">
        <is>
          <t>Capital Goods</t>
        </is>
      </c>
      <c r="D603" t="n">
        <v>1518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1518</v>
      </c>
    </row>
    <row r="604">
      <c r="A604" s="39" t="n">
        <v>45915</v>
      </c>
      <c r="B604" t="inlineStr">
        <is>
          <t>Sep 01-15, 2025</t>
        </is>
      </c>
      <c r="C604" t="inlineStr">
        <is>
          <t>Chemicals</t>
        </is>
      </c>
      <c r="D604" t="n">
        <v>23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23</v>
      </c>
    </row>
    <row r="605">
      <c r="A605" s="39" t="n">
        <v>45915</v>
      </c>
      <c r="B605" t="inlineStr">
        <is>
          <t>Sep 01-15, 2025</t>
        </is>
      </c>
      <c r="C605" t="inlineStr">
        <is>
          <t>Construction</t>
        </is>
      </c>
      <c r="D605" t="n">
        <v>130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130</v>
      </c>
    </row>
    <row r="606">
      <c r="A606" s="39" t="n">
        <v>45915</v>
      </c>
      <c r="B606" t="inlineStr">
        <is>
          <t>Sep 01-15, 2025</t>
        </is>
      </c>
      <c r="C606" t="inlineStr">
        <is>
          <t>Construction Materials</t>
        </is>
      </c>
      <c r="D606" t="n">
        <v>-1193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-1193</v>
      </c>
    </row>
    <row r="607">
      <c r="A607" s="39" t="n">
        <v>45915</v>
      </c>
      <c r="B607" t="inlineStr">
        <is>
          <t>Sep 01-15, 2025</t>
        </is>
      </c>
      <c r="C607" t="inlineStr">
        <is>
          <t>Consumer Durables</t>
        </is>
      </c>
      <c r="D607" t="n">
        <v>-326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-326</v>
      </c>
    </row>
    <row r="608">
      <c r="A608" s="39" t="n">
        <v>45915</v>
      </c>
      <c r="B608" t="inlineStr">
        <is>
          <t>Sep 01-15, 2025</t>
        </is>
      </c>
      <c r="C608" t="inlineStr">
        <is>
          <t>Consumer Services</t>
        </is>
      </c>
      <c r="D608" t="n">
        <v>-3246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-3246</v>
      </c>
    </row>
    <row r="609">
      <c r="A609" s="39" t="n">
        <v>45915</v>
      </c>
      <c r="B609" t="inlineStr">
        <is>
          <t>Sep 01-15, 2025</t>
        </is>
      </c>
      <c r="C609" t="inlineStr">
        <is>
          <t>Diversified</t>
        </is>
      </c>
      <c r="D609" t="n">
        <v>-34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-34</v>
      </c>
    </row>
    <row r="610">
      <c r="A610" s="39" t="n">
        <v>45915</v>
      </c>
      <c r="B610" t="inlineStr">
        <is>
          <t>Sep 01-15, 2025</t>
        </is>
      </c>
      <c r="C610" t="inlineStr">
        <is>
          <t>Fast Moving Consumer Goods</t>
        </is>
      </c>
      <c r="D610" t="n">
        <v>-1092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-1092</v>
      </c>
    </row>
    <row r="611">
      <c r="A611" s="39" t="n">
        <v>45915</v>
      </c>
      <c r="B611" t="inlineStr">
        <is>
          <t>Sep 01-15, 2025</t>
        </is>
      </c>
      <c r="C611" t="inlineStr">
        <is>
          <t>Financial Services</t>
        </is>
      </c>
      <c r="D611" t="n">
        <v>1634</v>
      </c>
      <c r="E611" t="n">
        <v>-220</v>
      </c>
      <c r="F611" t="n">
        <v>-458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83</v>
      </c>
      <c r="N611" t="n">
        <v>0</v>
      </c>
      <c r="O611" t="n">
        <v>1039</v>
      </c>
    </row>
    <row r="612">
      <c r="A612" s="39" t="n">
        <v>45915</v>
      </c>
      <c r="B612" t="inlineStr">
        <is>
          <t>Sep 01-15, 2025</t>
        </is>
      </c>
      <c r="C612" t="inlineStr">
        <is>
          <t>Forest Materials</t>
        </is>
      </c>
      <c r="D612" t="n">
        <v>-9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-9</v>
      </c>
    </row>
    <row r="613">
      <c r="A613" s="39" t="n">
        <v>45915</v>
      </c>
      <c r="B613" t="inlineStr">
        <is>
          <t>Sep 01-15, 2025</t>
        </is>
      </c>
      <c r="C613" t="inlineStr">
        <is>
          <t>Healthcare</t>
        </is>
      </c>
      <c r="D613" t="n">
        <v>-1601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-1601</v>
      </c>
    </row>
    <row r="614">
      <c r="A614" s="39" t="n">
        <v>45915</v>
      </c>
      <c r="B614" t="inlineStr">
        <is>
          <t>Sep 01-15, 2025</t>
        </is>
      </c>
      <c r="C614" t="inlineStr">
        <is>
          <t>Information Technology</t>
        </is>
      </c>
      <c r="D614" t="n">
        <v>-2014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-2014</v>
      </c>
    </row>
    <row r="615">
      <c r="A615" s="39" t="n">
        <v>45915</v>
      </c>
      <c r="B615" t="inlineStr">
        <is>
          <t>Sep 01-15, 2025</t>
        </is>
      </c>
      <c r="C615" t="inlineStr">
        <is>
          <t>Media, Entertainment &amp; Publication</t>
        </is>
      </c>
      <c r="D615" t="n">
        <v>-16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-16</v>
      </c>
    </row>
    <row r="616">
      <c r="A616" s="39" t="n">
        <v>45915</v>
      </c>
      <c r="B616" t="inlineStr">
        <is>
          <t>Sep 01-15, 2025</t>
        </is>
      </c>
      <c r="C616" t="inlineStr">
        <is>
          <t>Metals &amp; Mining</t>
        </is>
      </c>
      <c r="D616" t="n">
        <v>1394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1394</v>
      </c>
    </row>
    <row r="617">
      <c r="A617" s="39" t="n">
        <v>45915</v>
      </c>
      <c r="B617" t="inlineStr">
        <is>
          <t>Sep 01-15, 2025</t>
        </is>
      </c>
      <c r="C617" t="inlineStr">
        <is>
          <t>Oil, Gas &amp; Consumable Fuels</t>
        </is>
      </c>
      <c r="D617" t="n">
        <v>-1502</v>
      </c>
      <c r="E617" t="n">
        <v>-26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-1528</v>
      </c>
    </row>
    <row r="618">
      <c r="A618" s="39" t="n">
        <v>45915</v>
      </c>
      <c r="B618" t="inlineStr">
        <is>
          <t>Sep 01-15, 2025</t>
        </is>
      </c>
      <c r="C618" t="inlineStr">
        <is>
          <t>Others</t>
        </is>
      </c>
      <c r="D618" t="n">
        <v>133</v>
      </c>
      <c r="E618" t="n">
        <v>-3</v>
      </c>
      <c r="F618" t="n">
        <v>-113</v>
      </c>
      <c r="G618" t="n">
        <v>0</v>
      </c>
      <c r="H618" t="n">
        <v>0</v>
      </c>
      <c r="I618" t="n">
        <v>-710</v>
      </c>
      <c r="J618" t="n">
        <v>-78</v>
      </c>
      <c r="K618" t="n">
        <v>31</v>
      </c>
      <c r="L618" t="n">
        <v>-1</v>
      </c>
      <c r="M618" t="n">
        <v>-19</v>
      </c>
      <c r="N618" t="n">
        <v>3</v>
      </c>
      <c r="O618" t="n">
        <v>-757</v>
      </c>
    </row>
    <row r="619">
      <c r="A619" s="39" t="n">
        <v>45915</v>
      </c>
      <c r="B619" t="inlineStr">
        <is>
          <t>Sep 01-15, 2025</t>
        </is>
      </c>
      <c r="C619" t="inlineStr">
        <is>
          <t>Power</t>
        </is>
      </c>
      <c r="D619" t="n">
        <v>-2107</v>
      </c>
      <c r="E619" t="n">
        <v>25</v>
      </c>
      <c r="F619" t="n">
        <v>0</v>
      </c>
      <c r="G619" t="n">
        <v>0</v>
      </c>
      <c r="H619" t="n">
        <v>79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-2003</v>
      </c>
    </row>
    <row r="620">
      <c r="A620" s="39" t="n">
        <v>45915</v>
      </c>
      <c r="B620" t="inlineStr">
        <is>
          <t>Sep 01-15, 2025</t>
        </is>
      </c>
      <c r="C620" t="inlineStr">
        <is>
          <t>Realty</t>
        </is>
      </c>
      <c r="D620" t="n">
        <v>-1927</v>
      </c>
      <c r="E620" t="n">
        <v>0</v>
      </c>
      <c r="F620" t="n">
        <v>0</v>
      </c>
      <c r="G620" t="n">
        <v>0</v>
      </c>
      <c r="H620" t="n">
        <v>-168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-2095</v>
      </c>
    </row>
    <row r="621">
      <c r="A621" s="39" t="n">
        <v>45915</v>
      </c>
      <c r="B621" t="inlineStr">
        <is>
          <t>Sep 01-15, 2025</t>
        </is>
      </c>
      <c r="C621" t="inlineStr">
        <is>
          <t>Services</t>
        </is>
      </c>
      <c r="D621" t="n">
        <v>236</v>
      </c>
      <c r="E621" t="n">
        <v>-2321</v>
      </c>
      <c r="F621" t="n">
        <v>-1102</v>
      </c>
      <c r="G621" t="n">
        <v>0</v>
      </c>
      <c r="H621" t="n">
        <v>-1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-3188</v>
      </c>
    </row>
    <row r="622">
      <c r="A622" s="39" t="n">
        <v>45915</v>
      </c>
      <c r="B622" t="inlineStr">
        <is>
          <t>Sep 01-15, 2025</t>
        </is>
      </c>
      <c r="C622" t="inlineStr">
        <is>
          <t>Sovereign</t>
        </is>
      </c>
      <c r="D622" t="n">
        <v>0</v>
      </c>
      <c r="E622" t="n">
        <v>-510</v>
      </c>
      <c r="F622" t="n">
        <v>4</v>
      </c>
      <c r="G622" t="n">
        <v>8499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7993</v>
      </c>
    </row>
    <row r="623">
      <c r="A623" s="39" t="n">
        <v>45915</v>
      </c>
      <c r="B623" t="inlineStr">
        <is>
          <t>Sep 01-15, 2025</t>
        </is>
      </c>
      <c r="C623" t="inlineStr">
        <is>
          <t>Telecommunication</t>
        </is>
      </c>
      <c r="D623" t="n">
        <v>-1505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-1505</v>
      </c>
    </row>
    <row r="624">
      <c r="A624" s="39" t="n">
        <v>45915</v>
      </c>
      <c r="B624" t="inlineStr">
        <is>
          <t>Sep 01-15, 2025</t>
        </is>
      </c>
      <c r="C624" t="inlineStr">
        <is>
          <t>Textiles</t>
        </is>
      </c>
      <c r="D624" t="n">
        <v>-119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-119</v>
      </c>
    </row>
    <row r="625">
      <c r="A625" s="39" t="n">
        <v>45915</v>
      </c>
      <c r="B625" t="inlineStr">
        <is>
          <t>Sep 01-15, 2025</t>
        </is>
      </c>
      <c r="C625" t="inlineStr">
        <is>
          <t>Utilities</t>
        </is>
      </c>
      <c r="D625" t="n">
        <v>-46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-46</v>
      </c>
    </row>
    <row r="626">
      <c r="A626" s="39" t="n">
        <v>45930</v>
      </c>
      <c r="B626" t="inlineStr">
        <is>
          <t>Sep 16-30, 2025</t>
        </is>
      </c>
      <c r="C626" t="inlineStr">
        <is>
          <t>Automobile and Auto Components</t>
        </is>
      </c>
      <c r="D626" t="n">
        <v>1733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1733</v>
      </c>
    </row>
    <row r="627">
      <c r="A627" s="39" t="n">
        <v>45930</v>
      </c>
      <c r="B627" t="inlineStr">
        <is>
          <t>Sep 16-30, 2025</t>
        </is>
      </c>
      <c r="C627" t="inlineStr">
        <is>
          <t>Capital Goods</t>
        </is>
      </c>
      <c r="D627" t="n">
        <v>1492</v>
      </c>
      <c r="E627" t="n">
        <v>-7</v>
      </c>
      <c r="F627" t="n">
        <v>-1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1484</v>
      </c>
    </row>
    <row r="628">
      <c r="A628" s="39" t="n">
        <v>45930</v>
      </c>
      <c r="B628" t="inlineStr">
        <is>
          <t>Sep 16-30, 2025</t>
        </is>
      </c>
      <c r="C628" t="inlineStr">
        <is>
          <t>Chemicals</t>
        </is>
      </c>
      <c r="D628" t="n">
        <v>-406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-406</v>
      </c>
    </row>
    <row r="629">
      <c r="A629" s="39" t="n">
        <v>45930</v>
      </c>
      <c r="B629" t="inlineStr">
        <is>
          <t>Sep 16-30, 2025</t>
        </is>
      </c>
      <c r="C629" t="inlineStr">
        <is>
          <t>Construction</t>
        </is>
      </c>
      <c r="D629" t="n">
        <v>726</v>
      </c>
      <c r="E629" t="n">
        <v>0</v>
      </c>
      <c r="F629" t="n">
        <v>0</v>
      </c>
      <c r="G629" t="n">
        <v>0</v>
      </c>
      <c r="H629" t="n">
        <v>-1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725</v>
      </c>
    </row>
    <row r="630">
      <c r="A630" s="39" t="n">
        <v>45930</v>
      </c>
      <c r="B630" t="inlineStr">
        <is>
          <t>Sep 16-30, 2025</t>
        </is>
      </c>
      <c r="C630" t="inlineStr">
        <is>
          <t>Construction Materials</t>
        </is>
      </c>
      <c r="D630" t="n">
        <v>-220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-220</v>
      </c>
    </row>
    <row r="631">
      <c r="A631" s="39" t="n">
        <v>45930</v>
      </c>
      <c r="B631" t="inlineStr">
        <is>
          <t>Sep 16-30, 2025</t>
        </is>
      </c>
      <c r="C631" t="inlineStr">
        <is>
          <t>Consumer Durables</t>
        </is>
      </c>
      <c r="D631" t="n">
        <v>-3301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-3301</v>
      </c>
    </row>
    <row r="632">
      <c r="A632" s="39" t="n">
        <v>45930</v>
      </c>
      <c r="B632" t="inlineStr">
        <is>
          <t>Sep 16-30, 2025</t>
        </is>
      </c>
      <c r="C632" t="inlineStr">
        <is>
          <t>Consumer Services</t>
        </is>
      </c>
      <c r="D632" t="n">
        <v>-114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-114</v>
      </c>
    </row>
    <row r="633">
      <c r="A633" s="39" t="n">
        <v>45930</v>
      </c>
      <c r="B633" t="inlineStr">
        <is>
          <t>Sep 16-30, 2025</t>
        </is>
      </c>
      <c r="C633" t="inlineStr">
        <is>
          <t>Diversified</t>
        </is>
      </c>
      <c r="D633" t="n">
        <v>-186</v>
      </c>
      <c r="E633" t="n">
        <v>-12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-198</v>
      </c>
    </row>
    <row r="634">
      <c r="A634" s="39" t="n">
        <v>45930</v>
      </c>
      <c r="B634" t="inlineStr">
        <is>
          <t>Sep 16-30, 2025</t>
        </is>
      </c>
      <c r="C634" t="inlineStr">
        <is>
          <t>Fast Moving Consumer Goods</t>
        </is>
      </c>
      <c r="D634" t="n">
        <v>-3110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-3110</v>
      </c>
    </row>
    <row r="635">
      <c r="A635" s="39" t="n">
        <v>45930</v>
      </c>
      <c r="B635" t="inlineStr">
        <is>
          <t>Sep 16-30, 2025</t>
        </is>
      </c>
      <c r="C635" t="inlineStr">
        <is>
          <t>Financial Services</t>
        </is>
      </c>
      <c r="D635" t="n">
        <v>-642</v>
      </c>
      <c r="E635" t="n">
        <v>8</v>
      </c>
      <c r="F635" t="n">
        <v>946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16</v>
      </c>
      <c r="N635" t="n">
        <v>0</v>
      </c>
      <c r="O635" t="n">
        <v>328</v>
      </c>
    </row>
    <row r="636">
      <c r="A636" s="39" t="n">
        <v>45930</v>
      </c>
      <c r="B636" t="inlineStr">
        <is>
          <t>Sep 16-30, 2025</t>
        </is>
      </c>
      <c r="C636" t="inlineStr">
        <is>
          <t>Forest Materials</t>
        </is>
      </c>
      <c r="D636" t="n">
        <v>-15</v>
      </c>
      <c r="E636" t="n">
        <v>-33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-48</v>
      </c>
    </row>
    <row r="637">
      <c r="A637" s="39" t="n">
        <v>45930</v>
      </c>
      <c r="B637" t="inlineStr">
        <is>
          <t>Sep 16-30, 2025</t>
        </is>
      </c>
      <c r="C637" t="inlineStr">
        <is>
          <t>Healthcare</t>
        </is>
      </c>
      <c r="D637" t="n">
        <v>-4521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-4521</v>
      </c>
    </row>
    <row r="638">
      <c r="A638" s="39" t="n">
        <v>45930</v>
      </c>
      <c r="B638" t="inlineStr">
        <is>
          <t>Sep 16-30, 2025</t>
        </is>
      </c>
      <c r="C638" t="inlineStr">
        <is>
          <t>Information Technology</t>
        </is>
      </c>
      <c r="D638" t="n">
        <v>-4036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-4036</v>
      </c>
    </row>
    <row r="639">
      <c r="A639" s="39" t="n">
        <v>45930</v>
      </c>
      <c r="B639" t="inlineStr">
        <is>
          <t>Sep 16-30, 2025</t>
        </is>
      </c>
      <c r="C639" t="inlineStr">
        <is>
          <t>Media, Entertainment &amp; Publication</t>
        </is>
      </c>
      <c r="D639" t="n">
        <v>93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93</v>
      </c>
    </row>
    <row r="640">
      <c r="A640" s="39" t="n">
        <v>45930</v>
      </c>
      <c r="B640" t="inlineStr">
        <is>
          <t>Sep 16-30, 2025</t>
        </is>
      </c>
      <c r="C640" t="inlineStr">
        <is>
          <t>Metals &amp; Mining</t>
        </is>
      </c>
      <c r="D640" t="n">
        <v>446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446</v>
      </c>
    </row>
    <row r="641">
      <c r="A641" s="39" t="n">
        <v>45930</v>
      </c>
      <c r="B641" t="inlineStr">
        <is>
          <t>Sep 16-30, 2025</t>
        </is>
      </c>
      <c r="C641" t="inlineStr">
        <is>
          <t>Oil, Gas &amp; Consumable Fuels</t>
        </is>
      </c>
      <c r="D641" t="n">
        <v>728</v>
      </c>
      <c r="E641" t="n">
        <v>-25</v>
      </c>
      <c r="F641" t="n">
        <v>0</v>
      </c>
      <c r="G641" t="n">
        <v>0</v>
      </c>
      <c r="H641" t="n">
        <v>72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775</v>
      </c>
    </row>
    <row r="642">
      <c r="A642" s="39" t="n">
        <v>45930</v>
      </c>
      <c r="B642" t="inlineStr">
        <is>
          <t>Sep 16-30, 2025</t>
        </is>
      </c>
      <c r="C642" t="inlineStr">
        <is>
          <t>Others</t>
        </is>
      </c>
      <c r="D642" t="n">
        <v>294</v>
      </c>
      <c r="E642" t="n">
        <v>3637</v>
      </c>
      <c r="F642" t="n">
        <v>1738</v>
      </c>
      <c r="G642" t="n">
        <v>0</v>
      </c>
      <c r="H642" t="n">
        <v>32</v>
      </c>
      <c r="I642" t="n">
        <v>-392</v>
      </c>
      <c r="J642" t="n">
        <v>-156</v>
      </c>
      <c r="K642" t="n">
        <v>51</v>
      </c>
      <c r="L642" t="n">
        <v>0</v>
      </c>
      <c r="M642" t="n">
        <v>42</v>
      </c>
      <c r="N642" t="n">
        <v>0</v>
      </c>
      <c r="O642" t="n">
        <v>5246</v>
      </c>
    </row>
    <row r="643">
      <c r="A643" s="39" t="n">
        <v>45930</v>
      </c>
      <c r="B643" t="inlineStr">
        <is>
          <t>Sep 16-30, 2025</t>
        </is>
      </c>
      <c r="C643" t="inlineStr">
        <is>
          <t>Power</t>
        </is>
      </c>
      <c r="D643" t="n">
        <v>-586</v>
      </c>
      <c r="E643" t="n">
        <v>0</v>
      </c>
      <c r="F643" t="n">
        <v>0</v>
      </c>
      <c r="G643" t="n">
        <v>0</v>
      </c>
      <c r="H643" t="n">
        <v>165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-421</v>
      </c>
    </row>
    <row r="644">
      <c r="A644" s="39" t="n">
        <v>45930</v>
      </c>
      <c r="B644" t="inlineStr">
        <is>
          <t>Sep 16-30, 2025</t>
        </is>
      </c>
      <c r="C644" t="inlineStr">
        <is>
          <t>Realty</t>
        </is>
      </c>
      <c r="D644" t="n">
        <v>-332</v>
      </c>
      <c r="E644" t="n">
        <v>170</v>
      </c>
      <c r="F644" t="n">
        <v>0</v>
      </c>
      <c r="G644" t="n">
        <v>0</v>
      </c>
      <c r="H644" t="n">
        <v>39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-123</v>
      </c>
    </row>
    <row r="645">
      <c r="A645" s="39" t="n">
        <v>45930</v>
      </c>
      <c r="B645" t="inlineStr">
        <is>
          <t>Sep 16-30, 2025</t>
        </is>
      </c>
      <c r="C645" t="inlineStr">
        <is>
          <t>Services</t>
        </is>
      </c>
      <c r="D645" t="n">
        <v>-1222</v>
      </c>
      <c r="E645" t="n">
        <v>-106</v>
      </c>
      <c r="F645" t="n">
        <v>0</v>
      </c>
      <c r="G645" t="n">
        <v>0</v>
      </c>
      <c r="H645" t="n">
        <v>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-1321</v>
      </c>
    </row>
    <row r="646">
      <c r="A646" s="39" t="n">
        <v>45930</v>
      </c>
      <c r="B646" t="inlineStr">
        <is>
          <t>Sep 16-30, 2025</t>
        </is>
      </c>
      <c r="C646" t="inlineStr">
        <is>
          <t>Sovereign</t>
        </is>
      </c>
      <c r="D646" t="n">
        <v>0</v>
      </c>
      <c r="E646" t="n">
        <v>510</v>
      </c>
      <c r="F646" t="n">
        <v>-1</v>
      </c>
      <c r="G646" t="n">
        <v>1456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1965</v>
      </c>
    </row>
    <row r="647">
      <c r="A647" s="39" t="n">
        <v>45930</v>
      </c>
      <c r="B647" t="inlineStr">
        <is>
          <t>Sep 16-30, 2025</t>
        </is>
      </c>
      <c r="C647" t="inlineStr">
        <is>
          <t>Telecommunication</t>
        </is>
      </c>
      <c r="D647" t="n">
        <v>-917</v>
      </c>
      <c r="E647" t="n">
        <v>0</v>
      </c>
      <c r="F647" t="n">
        <v>199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-718</v>
      </c>
    </row>
    <row r="648">
      <c r="A648" s="39" t="n">
        <v>45930</v>
      </c>
      <c r="B648" t="inlineStr">
        <is>
          <t>Sep 16-30, 2025</t>
        </is>
      </c>
      <c r="C648" t="inlineStr">
        <is>
          <t>Textiles</t>
        </is>
      </c>
      <c r="D648" t="n">
        <v>-39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-39</v>
      </c>
    </row>
    <row r="649">
      <c r="A649" s="39" t="n">
        <v>45930</v>
      </c>
      <c r="B649" t="inlineStr">
        <is>
          <t>Sep 16-30, 2025</t>
        </is>
      </c>
      <c r="C649" t="inlineStr">
        <is>
          <t>Utilities</t>
        </is>
      </c>
      <c r="D649" t="n">
        <v>11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11</v>
      </c>
    </row>
    <row r="650">
      <c r="A650" s="39" t="n">
        <v>45945</v>
      </c>
      <c r="B650" t="inlineStr">
        <is>
          <t>Oct 01-15, 2025</t>
        </is>
      </c>
      <c r="C650" t="inlineStr">
        <is>
          <t>Automobile and Auto Components</t>
        </is>
      </c>
      <c r="D650" t="n">
        <v>1560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1560</v>
      </c>
    </row>
    <row r="651">
      <c r="A651" s="39" t="n">
        <v>45945</v>
      </c>
      <c r="B651" t="inlineStr">
        <is>
          <t>Oct 01-15, 2025</t>
        </is>
      </c>
      <c r="C651" t="inlineStr">
        <is>
          <t>Capital Goods</t>
        </is>
      </c>
      <c r="D651" t="n">
        <v>-851</v>
      </c>
      <c r="E651" t="n">
        <v>-23</v>
      </c>
      <c r="F651" t="n">
        <v>-1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-875</v>
      </c>
    </row>
    <row r="652">
      <c r="A652" s="39" t="n">
        <v>45945</v>
      </c>
      <c r="B652" t="inlineStr">
        <is>
          <t>Oct 01-15, 2025</t>
        </is>
      </c>
      <c r="C652" t="inlineStr">
        <is>
          <t>Chemicals</t>
        </is>
      </c>
      <c r="D652" t="n">
        <v>-316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-316</v>
      </c>
    </row>
    <row r="653">
      <c r="A653" s="39" t="n">
        <v>45945</v>
      </c>
      <c r="B653" t="inlineStr">
        <is>
          <t>Oct 01-15, 2025</t>
        </is>
      </c>
      <c r="C653" t="inlineStr">
        <is>
          <t>Construction</t>
        </is>
      </c>
      <c r="D653" t="n">
        <v>641</v>
      </c>
      <c r="E653" t="n">
        <v>0</v>
      </c>
      <c r="F653" t="n">
        <v>0</v>
      </c>
      <c r="G653" t="n">
        <v>0</v>
      </c>
      <c r="H653" t="n">
        <v>-1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640</v>
      </c>
    </row>
    <row r="654">
      <c r="A654" s="39" t="n">
        <v>45945</v>
      </c>
      <c r="B654" t="inlineStr">
        <is>
          <t>Oct 01-15, 2025</t>
        </is>
      </c>
      <c r="C654" t="inlineStr">
        <is>
          <t>Construction Materials</t>
        </is>
      </c>
      <c r="D654" t="n">
        <v>-94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-94</v>
      </c>
    </row>
    <row r="655">
      <c r="A655" s="39" t="n">
        <v>45945</v>
      </c>
      <c r="B655" t="inlineStr">
        <is>
          <t>Oct 01-15, 2025</t>
        </is>
      </c>
      <c r="C655" t="inlineStr">
        <is>
          <t>Consumer Durables</t>
        </is>
      </c>
      <c r="D655" t="n">
        <v>-213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-213</v>
      </c>
    </row>
    <row r="656">
      <c r="A656" s="39" t="n">
        <v>45945</v>
      </c>
      <c r="B656" t="inlineStr">
        <is>
          <t>Oct 01-15, 2025</t>
        </is>
      </c>
      <c r="C656" t="inlineStr">
        <is>
          <t>Consumer Services</t>
        </is>
      </c>
      <c r="D656" t="n">
        <v>-1785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-1785</v>
      </c>
    </row>
    <row r="657">
      <c r="A657" s="39" t="n">
        <v>45945</v>
      </c>
      <c r="B657" t="inlineStr">
        <is>
          <t>Oct 01-15, 2025</t>
        </is>
      </c>
      <c r="C657" t="inlineStr">
        <is>
          <t>Diversified</t>
        </is>
      </c>
      <c r="D657" t="n">
        <v>-34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-34</v>
      </c>
    </row>
    <row r="658">
      <c r="A658" s="39" t="n">
        <v>45945</v>
      </c>
      <c r="B658" t="inlineStr">
        <is>
          <t>Oct 01-15, 2025</t>
        </is>
      </c>
      <c r="C658" t="inlineStr">
        <is>
          <t>Fast Moving Consumer Goods</t>
        </is>
      </c>
      <c r="D658" t="n">
        <v>-2992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-2992</v>
      </c>
    </row>
    <row r="659">
      <c r="A659" s="39" t="n">
        <v>45945</v>
      </c>
      <c r="B659" t="inlineStr">
        <is>
          <t>Oct 01-15, 2025</t>
        </is>
      </c>
      <c r="C659" t="inlineStr">
        <is>
          <t>Financial Services</t>
        </is>
      </c>
      <c r="D659" t="n">
        <v>8276</v>
      </c>
      <c r="E659" t="n">
        <v>114</v>
      </c>
      <c r="F659" t="n">
        <v>315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-159</v>
      </c>
      <c r="N659" t="n">
        <v>0</v>
      </c>
      <c r="O659" t="n">
        <v>8546</v>
      </c>
    </row>
    <row r="660">
      <c r="A660" s="39" t="n">
        <v>45945</v>
      </c>
      <c r="B660" t="inlineStr">
        <is>
          <t>Oct 01-15, 2025</t>
        </is>
      </c>
      <c r="C660" t="inlineStr">
        <is>
          <t>Forest Materials</t>
        </is>
      </c>
      <c r="D660" t="n">
        <v>77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77</v>
      </c>
    </row>
    <row r="661">
      <c r="A661" s="39" t="n">
        <v>45945</v>
      </c>
      <c r="B661" t="inlineStr">
        <is>
          <t>Oct 01-15, 2025</t>
        </is>
      </c>
      <c r="C661" t="inlineStr">
        <is>
          <t>Healthcare</t>
        </is>
      </c>
      <c r="D661" t="n">
        <v>-2739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-2739</v>
      </c>
    </row>
    <row r="662">
      <c r="A662" s="39" t="n">
        <v>45945</v>
      </c>
      <c r="B662" t="inlineStr">
        <is>
          <t>Oct 01-15, 2025</t>
        </is>
      </c>
      <c r="C662" t="inlineStr">
        <is>
          <t>Information Technology</t>
        </is>
      </c>
      <c r="D662" t="n">
        <v>-1927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-1927</v>
      </c>
    </row>
    <row r="663">
      <c r="A663" s="39" t="n">
        <v>45945</v>
      </c>
      <c r="B663" t="inlineStr">
        <is>
          <t>Oct 01-15, 2025</t>
        </is>
      </c>
      <c r="C663" t="inlineStr">
        <is>
          <t>Media, Entertainment &amp; Publication</t>
        </is>
      </c>
      <c r="D663" t="n">
        <v>87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87</v>
      </c>
    </row>
    <row r="664">
      <c r="A664" s="39" t="n">
        <v>45945</v>
      </c>
      <c r="B664" t="inlineStr">
        <is>
          <t>Oct 01-15, 2025</t>
        </is>
      </c>
      <c r="C664" t="inlineStr">
        <is>
          <t>Metals &amp; Mining</t>
        </is>
      </c>
      <c r="D664" t="n">
        <v>1395</v>
      </c>
      <c r="E664" t="n">
        <v>-15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1380</v>
      </c>
    </row>
    <row r="665">
      <c r="A665" s="39" t="n">
        <v>45945</v>
      </c>
      <c r="B665" t="inlineStr">
        <is>
          <t>Oct 01-15, 2025</t>
        </is>
      </c>
      <c r="C665" t="inlineStr">
        <is>
          <t>Oil, Gas &amp; Consumable Fuels</t>
        </is>
      </c>
      <c r="D665" t="n">
        <v>1086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1087</v>
      </c>
    </row>
    <row r="666">
      <c r="A666" s="39" t="n">
        <v>45945</v>
      </c>
      <c r="B666" t="inlineStr">
        <is>
          <t>Oct 01-15, 2025</t>
        </is>
      </c>
      <c r="C666" t="inlineStr">
        <is>
          <t>Others</t>
        </is>
      </c>
      <c r="D666" t="n">
        <v>1060</v>
      </c>
      <c r="E666" t="n">
        <v>1205</v>
      </c>
      <c r="F666" t="n">
        <v>-570</v>
      </c>
      <c r="G666" t="n">
        <v>0</v>
      </c>
      <c r="H666" t="n">
        <v>0</v>
      </c>
      <c r="I666" t="n">
        <v>187</v>
      </c>
      <c r="J666" t="n">
        <v>-29</v>
      </c>
      <c r="K666" t="n">
        <v>48</v>
      </c>
      <c r="L666" t="n">
        <v>0</v>
      </c>
      <c r="M666" t="n">
        <v>-7</v>
      </c>
      <c r="N666" t="n">
        <v>5</v>
      </c>
      <c r="O666" t="n">
        <v>1899</v>
      </c>
    </row>
    <row r="667">
      <c r="A667" s="39" t="n">
        <v>45945</v>
      </c>
      <c r="B667" t="inlineStr">
        <is>
          <t>Oct 01-15, 2025</t>
        </is>
      </c>
      <c r="C667" t="inlineStr">
        <is>
          <t>Power</t>
        </is>
      </c>
      <c r="D667" t="n">
        <v>1103</v>
      </c>
      <c r="E667" t="n">
        <v>-44</v>
      </c>
      <c r="F667" t="n">
        <v>0</v>
      </c>
      <c r="G667" t="n">
        <v>0</v>
      </c>
      <c r="H667" t="n">
        <v>-11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1048</v>
      </c>
    </row>
    <row r="668">
      <c r="A668" s="39" t="n">
        <v>45945</v>
      </c>
      <c r="B668" t="inlineStr">
        <is>
          <t>Oct 01-15, 2025</t>
        </is>
      </c>
      <c r="C668" t="inlineStr">
        <is>
          <t>Realty</t>
        </is>
      </c>
      <c r="D668" t="n">
        <v>-807</v>
      </c>
      <c r="E668" t="n">
        <v>-109</v>
      </c>
      <c r="F668" t="n">
        <v>0</v>
      </c>
      <c r="G668" t="n">
        <v>0</v>
      </c>
      <c r="H668" t="n">
        <v>608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-308</v>
      </c>
    </row>
    <row r="669">
      <c r="A669" s="39" t="n">
        <v>45945</v>
      </c>
      <c r="B669" t="inlineStr">
        <is>
          <t>Oct 01-15, 2025</t>
        </is>
      </c>
      <c r="C669" t="inlineStr">
        <is>
          <t>Services</t>
        </is>
      </c>
      <c r="D669" t="n">
        <v>234</v>
      </c>
      <c r="E669" t="n">
        <v>59</v>
      </c>
      <c r="F669" t="n">
        <v>0</v>
      </c>
      <c r="G669" t="n">
        <v>0</v>
      </c>
      <c r="H669" t="n">
        <v>-13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280</v>
      </c>
    </row>
    <row r="670">
      <c r="A670" s="39" t="n">
        <v>45945</v>
      </c>
      <c r="B670" t="inlineStr">
        <is>
          <t>Oct 01-15, 2025</t>
        </is>
      </c>
      <c r="C670" t="inlineStr">
        <is>
          <t>Sovereign</t>
        </is>
      </c>
      <c r="D670" t="n">
        <v>0</v>
      </c>
      <c r="E670" t="n">
        <v>961</v>
      </c>
      <c r="F670" t="n">
        <v>377</v>
      </c>
      <c r="G670" t="n">
        <v>4387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5725</v>
      </c>
    </row>
    <row r="671">
      <c r="A671" s="39" t="n">
        <v>45945</v>
      </c>
      <c r="B671" t="inlineStr">
        <is>
          <t>Oct 01-15, 2025</t>
        </is>
      </c>
      <c r="C671" t="inlineStr">
        <is>
          <t>Telecommunication</t>
        </is>
      </c>
      <c r="D671" t="n">
        <v>73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73</v>
      </c>
    </row>
    <row r="672">
      <c r="A672" s="39" t="n">
        <v>45945</v>
      </c>
      <c r="B672" t="inlineStr">
        <is>
          <t>Oct 01-15, 2025</t>
        </is>
      </c>
      <c r="C672" t="inlineStr">
        <is>
          <t>Textiles</t>
        </is>
      </c>
      <c r="D672" t="n">
        <v>-203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-203</v>
      </c>
    </row>
    <row r="673">
      <c r="A673" s="39" t="n">
        <v>45945</v>
      </c>
      <c r="B673" t="inlineStr">
        <is>
          <t>Oct 01-15, 2025</t>
        </is>
      </c>
      <c r="C673" t="inlineStr">
        <is>
          <t>Utilities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</row>
    <row r="674">
      <c r="A674" s="39" t="n">
        <v>45961</v>
      </c>
      <c r="B674" t="inlineStr">
        <is>
          <t>Oct 16-31, 2025</t>
        </is>
      </c>
      <c r="C674" t="inlineStr">
        <is>
          <t>Automobile and Auto Components</t>
        </is>
      </c>
      <c r="D674" t="n">
        <v>-593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-593</v>
      </c>
    </row>
    <row r="675">
      <c r="A675" s="39" t="n">
        <v>45961</v>
      </c>
      <c r="B675" t="inlineStr">
        <is>
          <t>Oct 16-31, 2025</t>
        </is>
      </c>
      <c r="C675" t="inlineStr">
        <is>
          <t>Capital Goods</t>
        </is>
      </c>
      <c r="D675" t="n">
        <v>169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169</v>
      </c>
    </row>
    <row r="676">
      <c r="A676" s="39" t="n">
        <v>45961</v>
      </c>
      <c r="B676" t="inlineStr">
        <is>
          <t>Oct 16-31, 2025</t>
        </is>
      </c>
      <c r="C676" t="inlineStr">
        <is>
          <t>Chemicals</t>
        </is>
      </c>
      <c r="D676" t="n">
        <v>-608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-608</v>
      </c>
    </row>
    <row r="677">
      <c r="A677" s="39" t="n">
        <v>45961</v>
      </c>
      <c r="B677" t="inlineStr">
        <is>
          <t>Oct 16-31, 2025</t>
        </is>
      </c>
      <c r="C677" t="inlineStr">
        <is>
          <t>Construction</t>
        </is>
      </c>
      <c r="D677" t="n">
        <v>1592</v>
      </c>
      <c r="E677" t="n">
        <v>-1</v>
      </c>
      <c r="F677" t="n">
        <v>0</v>
      </c>
      <c r="G677" t="n">
        <v>0</v>
      </c>
      <c r="H677" t="n">
        <v>-2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1589</v>
      </c>
    </row>
    <row r="678">
      <c r="A678" s="39" t="n">
        <v>45961</v>
      </c>
      <c r="B678" t="inlineStr">
        <is>
          <t>Oct 16-31, 2025</t>
        </is>
      </c>
      <c r="C678" t="inlineStr">
        <is>
          <t>Construction Materials</t>
        </is>
      </c>
      <c r="D678" t="n">
        <v>-1198</v>
      </c>
      <c r="E678" t="n">
        <v>18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-1180</v>
      </c>
    </row>
    <row r="679">
      <c r="A679" s="39" t="n">
        <v>45961</v>
      </c>
      <c r="B679" t="inlineStr">
        <is>
          <t>Oct 16-31, 2025</t>
        </is>
      </c>
      <c r="C679" t="inlineStr">
        <is>
          <t>Consumer Durables</t>
        </is>
      </c>
      <c r="D679" t="n">
        <v>-1543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-1543</v>
      </c>
    </row>
    <row r="680">
      <c r="A680" s="39" t="n">
        <v>45961</v>
      </c>
      <c r="B680" t="inlineStr">
        <is>
          <t>Oct 16-31, 2025</t>
        </is>
      </c>
      <c r="C680" t="inlineStr">
        <is>
          <t>Consumer Services</t>
        </is>
      </c>
      <c r="D680" t="n">
        <v>-1677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-1677</v>
      </c>
    </row>
    <row r="681">
      <c r="A681" s="39" t="n">
        <v>45961</v>
      </c>
      <c r="B681" t="inlineStr">
        <is>
          <t>Oct 16-31, 2025</t>
        </is>
      </c>
      <c r="C681" t="inlineStr">
        <is>
          <t>Diversified</t>
        </is>
      </c>
      <c r="D681" t="n">
        <v>-70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-70</v>
      </c>
    </row>
    <row r="682">
      <c r="A682" s="39" t="n">
        <v>45961</v>
      </c>
      <c r="B682" t="inlineStr">
        <is>
          <t>Oct 16-31, 2025</t>
        </is>
      </c>
      <c r="C682" t="inlineStr">
        <is>
          <t>Fast Moving Consumer Goods</t>
        </is>
      </c>
      <c r="D682" t="n">
        <v>-1267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-1267</v>
      </c>
    </row>
    <row r="683">
      <c r="A683" s="39" t="n">
        <v>45961</v>
      </c>
      <c r="B683" t="inlineStr">
        <is>
          <t>Oct 16-31, 2025</t>
        </is>
      </c>
      <c r="C683" t="inlineStr">
        <is>
          <t>Financial Services</t>
        </is>
      </c>
      <c r="D683" t="n">
        <v>5003</v>
      </c>
      <c r="E683" t="n">
        <v>157</v>
      </c>
      <c r="F683" t="n">
        <v>200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21</v>
      </c>
      <c r="N683" t="n">
        <v>0</v>
      </c>
      <c r="O683" t="n">
        <v>5381</v>
      </c>
    </row>
    <row r="684">
      <c r="A684" s="39" t="n">
        <v>45961</v>
      </c>
      <c r="B684" t="inlineStr">
        <is>
          <t>Oct 16-31, 2025</t>
        </is>
      </c>
      <c r="C684" t="inlineStr">
        <is>
          <t>Forest Materials</t>
        </is>
      </c>
      <c r="D684" t="n">
        <v>17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17</v>
      </c>
    </row>
    <row r="685">
      <c r="A685" s="39" t="n">
        <v>45961</v>
      </c>
      <c r="B685" t="inlineStr">
        <is>
          <t>Oct 16-31, 2025</t>
        </is>
      </c>
      <c r="C685" t="inlineStr">
        <is>
          <t>Healthcare</t>
        </is>
      </c>
      <c r="D685" t="n">
        <v>-365</v>
      </c>
      <c r="E685" t="n">
        <v>10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-355</v>
      </c>
    </row>
    <row r="686">
      <c r="A686" s="39" t="n">
        <v>45961</v>
      </c>
      <c r="B686" t="inlineStr">
        <is>
          <t>Oct 16-31, 2025</t>
        </is>
      </c>
      <c r="C686" t="inlineStr">
        <is>
          <t>Information Technology</t>
        </is>
      </c>
      <c r="D686" t="n">
        <v>-267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-267</v>
      </c>
    </row>
    <row r="687">
      <c r="A687" s="39" t="n">
        <v>45961</v>
      </c>
      <c r="B687" t="inlineStr">
        <is>
          <t>Oct 16-31, 2025</t>
        </is>
      </c>
      <c r="C687" t="inlineStr">
        <is>
          <t>Media, Entertainment &amp; Publication</t>
        </is>
      </c>
      <c r="D687" t="n">
        <v>-133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-133</v>
      </c>
    </row>
    <row r="688">
      <c r="A688" s="39" t="n">
        <v>45961</v>
      </c>
      <c r="B688" t="inlineStr">
        <is>
          <t>Oct 16-31, 2025</t>
        </is>
      </c>
      <c r="C688" t="inlineStr">
        <is>
          <t>Metals &amp; Mining</t>
        </is>
      </c>
      <c r="D688" t="n">
        <v>1752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1752</v>
      </c>
    </row>
    <row r="689">
      <c r="A689" s="39" t="n">
        <v>45961</v>
      </c>
      <c r="B689" t="inlineStr">
        <is>
          <t>Oct 16-31, 2025</t>
        </is>
      </c>
      <c r="C689" t="inlineStr">
        <is>
          <t>Oil, Gas &amp; Consumable Fuels</t>
        </is>
      </c>
      <c r="D689" t="n">
        <v>8043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8043</v>
      </c>
    </row>
    <row r="690">
      <c r="A690" s="39" t="n">
        <v>45961</v>
      </c>
      <c r="B690" t="inlineStr">
        <is>
          <t>Oct 16-31, 2025</t>
        </is>
      </c>
      <c r="C690" t="inlineStr">
        <is>
          <t>Others</t>
        </is>
      </c>
      <c r="D690" t="n">
        <v>338</v>
      </c>
      <c r="E690" t="n">
        <v>625</v>
      </c>
      <c r="F690" t="n">
        <v>-642</v>
      </c>
      <c r="G690" t="n">
        <v>0</v>
      </c>
      <c r="H690" t="n">
        <v>1968</v>
      </c>
      <c r="I690" t="n">
        <v>57</v>
      </c>
      <c r="J690" t="n">
        <v>-228</v>
      </c>
      <c r="K690" t="n">
        <v>0</v>
      </c>
      <c r="L690" t="n">
        <v>0</v>
      </c>
      <c r="M690" t="n">
        <v>3</v>
      </c>
      <c r="N690" t="n">
        <v>-2</v>
      </c>
      <c r="O690" t="n">
        <v>2119</v>
      </c>
    </row>
    <row r="691">
      <c r="A691" s="39" t="n">
        <v>45961</v>
      </c>
      <c r="B691" t="inlineStr">
        <is>
          <t>Oct 16-31, 2025</t>
        </is>
      </c>
      <c r="C691" t="inlineStr">
        <is>
          <t>Power</t>
        </is>
      </c>
      <c r="D691" t="n">
        <v>-138</v>
      </c>
      <c r="E691" t="n">
        <v>0</v>
      </c>
      <c r="F691" t="n">
        <v>0</v>
      </c>
      <c r="G691" t="n">
        <v>0</v>
      </c>
      <c r="H691" t="n">
        <v>-4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-142</v>
      </c>
    </row>
    <row r="692">
      <c r="A692" s="39" t="n">
        <v>45961</v>
      </c>
      <c r="B692" t="inlineStr">
        <is>
          <t>Oct 16-31, 2025</t>
        </is>
      </c>
      <c r="C692" t="inlineStr">
        <is>
          <t>Realty</t>
        </is>
      </c>
      <c r="D692" t="n">
        <v>1</v>
      </c>
      <c r="E692" t="n">
        <v>875</v>
      </c>
      <c r="F692" t="n">
        <v>140</v>
      </c>
      <c r="G692" t="n">
        <v>0</v>
      </c>
      <c r="H692" t="n">
        <v>263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1279</v>
      </c>
    </row>
    <row r="693">
      <c r="A693" s="39" t="n">
        <v>45961</v>
      </c>
      <c r="B693" t="inlineStr">
        <is>
          <t>Oct 16-31, 2025</t>
        </is>
      </c>
      <c r="C693" t="inlineStr">
        <is>
          <t>Services</t>
        </is>
      </c>
      <c r="D693" t="n">
        <v>-21</v>
      </c>
      <c r="E693" t="n">
        <v>-9</v>
      </c>
      <c r="F693" t="n">
        <v>0</v>
      </c>
      <c r="G693" t="n">
        <v>0</v>
      </c>
      <c r="H693" t="n">
        <v>59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29</v>
      </c>
    </row>
    <row r="694">
      <c r="A694" s="39" t="n">
        <v>45961</v>
      </c>
      <c r="B694" t="inlineStr">
        <is>
          <t>Oct 16-31, 2025</t>
        </is>
      </c>
      <c r="C694" t="inlineStr">
        <is>
          <t>Sovereign</t>
        </is>
      </c>
      <c r="D694" t="n">
        <v>0</v>
      </c>
      <c r="E694" t="n">
        <v>-316</v>
      </c>
      <c r="F694" t="n">
        <v>-246</v>
      </c>
      <c r="G694" t="n">
        <v>10757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10195</v>
      </c>
    </row>
    <row r="695">
      <c r="A695" s="39" t="n">
        <v>45961</v>
      </c>
      <c r="B695" t="inlineStr">
        <is>
          <t>Oct 16-31, 2025</t>
        </is>
      </c>
      <c r="C695" t="inlineStr">
        <is>
          <t>Telecommunication</t>
        </is>
      </c>
      <c r="D695" t="n">
        <v>2087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2087</v>
      </c>
    </row>
    <row r="696">
      <c r="A696" s="39" t="n">
        <v>45961</v>
      </c>
      <c r="B696" t="inlineStr">
        <is>
          <t>Oct 16-31, 2025</t>
        </is>
      </c>
      <c r="C696" t="inlineStr">
        <is>
          <t>Textiles</t>
        </is>
      </c>
      <c r="D696" t="n">
        <v>-156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-156</v>
      </c>
    </row>
    <row r="697">
      <c r="A697" s="39" t="n">
        <v>45961</v>
      </c>
      <c r="B697" t="inlineStr">
        <is>
          <t>Oct 16-31, 2025</t>
        </is>
      </c>
      <c r="C697" t="inlineStr">
        <is>
          <t>Utilities</t>
        </is>
      </c>
      <c r="D697" t="n">
        <v>14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14</v>
      </c>
    </row>
    <row r="698">
      <c r="A698" s="39" t="n">
        <v>45976</v>
      </c>
      <c r="B698" t="inlineStr">
        <is>
          <t>Nov 01-15, 2025</t>
        </is>
      </c>
      <c r="C698" t="inlineStr">
        <is>
          <t>Automobile and Auto Components</t>
        </is>
      </c>
      <c r="D698" t="n">
        <v>-385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-385</v>
      </c>
    </row>
    <row r="699">
      <c r="A699" s="39" t="n">
        <v>45976</v>
      </c>
      <c r="B699" t="inlineStr">
        <is>
          <t>Nov 01-15, 2025</t>
        </is>
      </c>
      <c r="C699" t="inlineStr">
        <is>
          <t>Capital Goods</t>
        </is>
      </c>
      <c r="D699" t="n">
        <v>788</v>
      </c>
      <c r="E699" t="n">
        <v>-6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782</v>
      </c>
    </row>
    <row r="700">
      <c r="A700" s="39" t="n">
        <v>45976</v>
      </c>
      <c r="B700" t="inlineStr">
        <is>
          <t>Nov 01-15, 2025</t>
        </is>
      </c>
      <c r="C700" t="inlineStr">
        <is>
          <t>Chemicals</t>
        </is>
      </c>
      <c r="D700" t="n">
        <v>-518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-518</v>
      </c>
    </row>
    <row r="701">
      <c r="A701" s="39" t="n">
        <v>45976</v>
      </c>
      <c r="B701" t="inlineStr">
        <is>
          <t>Nov 01-15, 2025</t>
        </is>
      </c>
      <c r="C701" t="inlineStr">
        <is>
          <t>Construction</t>
        </is>
      </c>
      <c r="D701" t="n">
        <v>-330</v>
      </c>
      <c r="E701" t="n">
        <v>-1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-331</v>
      </c>
    </row>
    <row r="702">
      <c r="A702" s="39" t="n">
        <v>45976</v>
      </c>
      <c r="B702" t="inlineStr">
        <is>
          <t>Nov 01-15, 2025</t>
        </is>
      </c>
      <c r="C702" t="inlineStr">
        <is>
          <t>Construction Materials</t>
        </is>
      </c>
      <c r="D702" t="n">
        <v>-369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-369</v>
      </c>
    </row>
    <row r="703">
      <c r="A703" s="39" t="n">
        <v>45976</v>
      </c>
      <c r="B703" t="inlineStr">
        <is>
          <t>Nov 01-15, 2025</t>
        </is>
      </c>
      <c r="C703" t="inlineStr">
        <is>
          <t>Consumer Durables</t>
        </is>
      </c>
      <c r="D703" t="n">
        <v>-1379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-1379</v>
      </c>
    </row>
    <row r="704">
      <c r="A704" s="39" t="n">
        <v>45976</v>
      </c>
      <c r="B704" t="inlineStr">
        <is>
          <t>Nov 01-15, 2025</t>
        </is>
      </c>
      <c r="C704" t="inlineStr">
        <is>
          <t>Consumer Services</t>
        </is>
      </c>
      <c r="D704" t="n">
        <v>-2918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-2918</v>
      </c>
    </row>
    <row r="705">
      <c r="A705" s="39" t="n">
        <v>45976</v>
      </c>
      <c r="B705" t="inlineStr">
        <is>
          <t>Nov 01-15, 2025</t>
        </is>
      </c>
      <c r="C705" t="inlineStr">
        <is>
          <t>Diversified</t>
        </is>
      </c>
      <c r="D705" t="n">
        <v>46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46</v>
      </c>
    </row>
    <row r="706">
      <c r="A706" s="39" t="n">
        <v>45976</v>
      </c>
      <c r="B706" t="inlineStr">
        <is>
          <t>Nov 01-15, 2025</t>
        </is>
      </c>
      <c r="C706" t="inlineStr">
        <is>
          <t>Fast Moving Consumer Goods</t>
        </is>
      </c>
      <c r="D706" t="n">
        <v>-2042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-2042</v>
      </c>
    </row>
    <row r="707">
      <c r="A707" s="39" t="n">
        <v>45976</v>
      </c>
      <c r="B707" t="inlineStr">
        <is>
          <t>Nov 01-15, 2025</t>
        </is>
      </c>
      <c r="C707" t="inlineStr">
        <is>
          <t>Financial Services</t>
        </is>
      </c>
      <c r="D707" t="n">
        <v>-2041</v>
      </c>
      <c r="E707" t="n">
        <v>-961</v>
      </c>
      <c r="F707" t="n">
        <v>985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11</v>
      </c>
      <c r="N707" t="n">
        <v>0</v>
      </c>
      <c r="O707" t="n">
        <v>-2006</v>
      </c>
    </row>
    <row r="708">
      <c r="A708" s="39" t="n">
        <v>45976</v>
      </c>
      <c r="B708" t="inlineStr">
        <is>
          <t>Nov 01-15, 2025</t>
        </is>
      </c>
      <c r="C708" t="inlineStr">
        <is>
          <t>Forest Materials</t>
        </is>
      </c>
      <c r="D708" t="n">
        <v>-12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-12</v>
      </c>
    </row>
    <row r="709">
      <c r="A709" s="39" t="n">
        <v>45976</v>
      </c>
      <c r="B709" t="inlineStr">
        <is>
          <t>Nov 01-15, 2025</t>
        </is>
      </c>
      <c r="C709" t="inlineStr">
        <is>
          <t>Healthcare</t>
        </is>
      </c>
      <c r="D709" t="n">
        <v>-2526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-2526</v>
      </c>
    </row>
    <row r="710">
      <c r="A710" s="39" t="n">
        <v>45976</v>
      </c>
      <c r="B710" t="inlineStr">
        <is>
          <t>Nov 01-15, 2025</t>
        </is>
      </c>
      <c r="C710" t="inlineStr">
        <is>
          <t>Information Technology</t>
        </is>
      </c>
      <c r="D710" t="n">
        <v>-4873</v>
      </c>
      <c r="E710" t="n">
        <v>0</v>
      </c>
      <c r="F710" t="n">
        <v>275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-4598</v>
      </c>
    </row>
    <row r="711">
      <c r="A711" s="39" t="n">
        <v>45976</v>
      </c>
      <c r="B711" t="inlineStr">
        <is>
          <t>Nov 01-15, 2025</t>
        </is>
      </c>
      <c r="C711" t="inlineStr">
        <is>
          <t>Media, Entertainment &amp; Publication</t>
        </is>
      </c>
      <c r="D711" t="n">
        <v>-148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-148</v>
      </c>
    </row>
    <row r="712">
      <c r="A712" s="39" t="n">
        <v>45976</v>
      </c>
      <c r="B712" t="inlineStr">
        <is>
          <t>Nov 01-15, 2025</t>
        </is>
      </c>
      <c r="C712" t="inlineStr">
        <is>
          <t>Metals &amp; Mining</t>
        </is>
      </c>
      <c r="D712" t="n">
        <v>-109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-109</v>
      </c>
    </row>
    <row r="713">
      <c r="A713" s="39" t="n">
        <v>45976</v>
      </c>
      <c r="B713" t="inlineStr">
        <is>
          <t>Nov 01-15, 2025</t>
        </is>
      </c>
      <c r="C713" t="inlineStr">
        <is>
          <t>Oil, Gas &amp; Consumable Fuels</t>
        </is>
      </c>
      <c r="D713" t="n">
        <v>2992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2992</v>
      </c>
    </row>
    <row r="714">
      <c r="A714" s="39" t="n">
        <v>45976</v>
      </c>
      <c r="B714" t="inlineStr">
        <is>
          <t>Nov 01-15, 2025</t>
        </is>
      </c>
      <c r="C714" t="inlineStr">
        <is>
          <t>Others</t>
        </is>
      </c>
      <c r="D714" t="n">
        <v>1446</v>
      </c>
      <c r="E714" t="n">
        <v>-852</v>
      </c>
      <c r="F714" t="n">
        <v>2989</v>
      </c>
      <c r="G714" t="n">
        <v>0</v>
      </c>
      <c r="H714" t="n">
        <v>0</v>
      </c>
      <c r="I714" t="n">
        <v>108</v>
      </c>
      <c r="J714" t="n">
        <v>113</v>
      </c>
      <c r="K714" t="n">
        <v>-2</v>
      </c>
      <c r="L714" t="n">
        <v>0</v>
      </c>
      <c r="M714" t="n">
        <v>-2</v>
      </c>
      <c r="N714" t="n">
        <v>0</v>
      </c>
      <c r="O714" t="n">
        <v>3800</v>
      </c>
    </row>
    <row r="715">
      <c r="A715" s="39" t="n">
        <v>45976</v>
      </c>
      <c r="B715" t="inlineStr">
        <is>
          <t>Nov 01-15, 2025</t>
        </is>
      </c>
      <c r="C715" t="inlineStr">
        <is>
          <t>Power</t>
        </is>
      </c>
      <c r="D715" t="n">
        <v>-2512</v>
      </c>
      <c r="E715" t="n">
        <v>0</v>
      </c>
      <c r="F715" t="n">
        <v>0</v>
      </c>
      <c r="G715" t="n">
        <v>0</v>
      </c>
      <c r="H715" t="n">
        <v>28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-2484</v>
      </c>
    </row>
    <row r="716">
      <c r="A716" s="39" t="n">
        <v>45976</v>
      </c>
      <c r="B716" t="inlineStr">
        <is>
          <t>Nov 01-15, 2025</t>
        </is>
      </c>
      <c r="C716" t="inlineStr">
        <is>
          <t>Realty</t>
        </is>
      </c>
      <c r="D716" t="n">
        <v>236</v>
      </c>
      <c r="E716" t="n">
        <v>-95</v>
      </c>
      <c r="F716" t="n">
        <v>0</v>
      </c>
      <c r="G716" t="n">
        <v>0</v>
      </c>
      <c r="H716" t="n">
        <v>-117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24</v>
      </c>
    </row>
    <row r="717">
      <c r="A717" s="39" t="n">
        <v>45976</v>
      </c>
      <c r="B717" t="inlineStr">
        <is>
          <t>Nov 01-15, 2025</t>
        </is>
      </c>
      <c r="C717" t="inlineStr">
        <is>
          <t>Services</t>
        </is>
      </c>
      <c r="D717" t="n">
        <v>-673</v>
      </c>
      <c r="E717" t="n">
        <v>46</v>
      </c>
      <c r="F717" t="n">
        <v>0</v>
      </c>
      <c r="G717" t="n">
        <v>0</v>
      </c>
      <c r="H717" t="n">
        <v>10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-617</v>
      </c>
    </row>
    <row r="718">
      <c r="A718" s="39" t="n">
        <v>45976</v>
      </c>
      <c r="B718" t="inlineStr">
        <is>
          <t>Nov 01-15, 2025</t>
        </is>
      </c>
      <c r="C718" t="inlineStr">
        <is>
          <t>Sovereign</t>
        </is>
      </c>
      <c r="D718" t="n">
        <v>0</v>
      </c>
      <c r="E718" t="n">
        <v>-457</v>
      </c>
      <c r="F718" t="n">
        <v>-66</v>
      </c>
      <c r="G718" t="n">
        <v>4542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4019</v>
      </c>
    </row>
    <row r="719">
      <c r="A719" s="39" t="n">
        <v>45976</v>
      </c>
      <c r="B719" t="inlineStr">
        <is>
          <t>Nov 01-15, 2025</t>
        </is>
      </c>
      <c r="C719" t="inlineStr">
        <is>
          <t>Telecommunication</t>
        </is>
      </c>
      <c r="D719" t="n">
        <v>9413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9413</v>
      </c>
    </row>
    <row r="720">
      <c r="A720" s="39" t="n">
        <v>45976</v>
      </c>
      <c r="B720" t="inlineStr">
        <is>
          <t>Nov 01-15, 2025</t>
        </is>
      </c>
      <c r="C720" t="inlineStr">
        <is>
          <t>Textiles</t>
        </is>
      </c>
      <c r="D720" t="n">
        <v>-186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-186</v>
      </c>
    </row>
    <row r="721">
      <c r="A721" s="39" t="n">
        <v>45976</v>
      </c>
      <c r="B721" t="inlineStr">
        <is>
          <t>Nov 01-15, 2025</t>
        </is>
      </c>
      <c r="C721" t="inlineStr">
        <is>
          <t>Utilities</t>
        </is>
      </c>
      <c r="D721" t="n">
        <v>8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8</v>
      </c>
    </row>
    <row r="722">
      <c r="A722" s="39" t="n">
        <v>45991</v>
      </c>
      <c r="B722" t="inlineStr">
        <is>
          <t>Nov 16-30, 2025</t>
        </is>
      </c>
      <c r="C722" t="inlineStr">
        <is>
          <t>Automobile and Auto Components</t>
        </is>
      </c>
      <c r="D722" t="n">
        <v>-1257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-1257</v>
      </c>
    </row>
    <row r="723">
      <c r="A723" s="39" t="n">
        <v>45991</v>
      </c>
      <c r="B723" t="inlineStr">
        <is>
          <t>Nov 16-30, 2025</t>
        </is>
      </c>
      <c r="C723" t="inlineStr">
        <is>
          <t>Capital Goods</t>
        </is>
      </c>
      <c r="D723" t="n">
        <v>1707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1707</v>
      </c>
    </row>
    <row r="724">
      <c r="A724" s="39" t="n">
        <v>45991</v>
      </c>
      <c r="B724" t="inlineStr">
        <is>
          <t>Nov 16-30, 2025</t>
        </is>
      </c>
      <c r="C724" t="inlineStr">
        <is>
          <t>Chemicals</t>
        </is>
      </c>
      <c r="D724" t="n">
        <v>-660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-660</v>
      </c>
    </row>
    <row r="725">
      <c r="A725" s="39" t="n">
        <v>45991</v>
      </c>
      <c r="B725" t="inlineStr">
        <is>
          <t>Nov 16-30, 2025</t>
        </is>
      </c>
      <c r="C725" t="inlineStr">
        <is>
          <t>Construction</t>
        </is>
      </c>
      <c r="D725" t="n">
        <v>-112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-112</v>
      </c>
    </row>
    <row r="726">
      <c r="A726" s="39" t="n">
        <v>45991</v>
      </c>
      <c r="B726" t="inlineStr">
        <is>
          <t>Nov 16-30, 2025</t>
        </is>
      </c>
      <c r="C726" t="inlineStr">
        <is>
          <t>Construction Materials</t>
        </is>
      </c>
      <c r="D726" t="n">
        <v>-492</v>
      </c>
      <c r="E726" t="n">
        <v>-18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-510</v>
      </c>
    </row>
    <row r="727">
      <c r="A727" s="39" t="n">
        <v>45991</v>
      </c>
      <c r="B727" t="inlineStr">
        <is>
          <t>Nov 16-30, 2025</t>
        </is>
      </c>
      <c r="C727" t="inlineStr">
        <is>
          <t>Consumer Durables</t>
        </is>
      </c>
      <c r="D727" t="n">
        <v>1273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1273</v>
      </c>
    </row>
    <row r="728">
      <c r="A728" s="39" t="n">
        <v>45991</v>
      </c>
      <c r="B728" t="inlineStr">
        <is>
          <t>Nov 16-30, 2025</t>
        </is>
      </c>
      <c r="C728" t="inlineStr">
        <is>
          <t>Consumer Services</t>
        </is>
      </c>
      <c r="D728" t="n">
        <v>-1075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-1075</v>
      </c>
    </row>
    <row r="729">
      <c r="A729" s="39" t="n">
        <v>45991</v>
      </c>
      <c r="B729" t="inlineStr">
        <is>
          <t>Nov 16-30, 2025</t>
        </is>
      </c>
      <c r="C729" t="inlineStr">
        <is>
          <t>Diversified</t>
        </is>
      </c>
      <c r="D729" t="n">
        <v>10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10</v>
      </c>
    </row>
    <row r="730">
      <c r="A730" s="39" t="n">
        <v>45991</v>
      </c>
      <c r="B730" t="inlineStr">
        <is>
          <t>Nov 16-30, 2025</t>
        </is>
      </c>
      <c r="C730" t="inlineStr">
        <is>
          <t>Fast Moving Consumer Goods</t>
        </is>
      </c>
      <c r="D730" t="n">
        <v>-2722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-2722</v>
      </c>
    </row>
    <row r="731">
      <c r="A731" s="39" t="n">
        <v>45991</v>
      </c>
      <c r="B731" t="inlineStr">
        <is>
          <t>Nov 16-30, 2025</t>
        </is>
      </c>
      <c r="C731" t="inlineStr">
        <is>
          <t>Financial Services</t>
        </is>
      </c>
      <c r="D731" t="n">
        <v>-1137</v>
      </c>
      <c r="E731" t="n">
        <v>-280</v>
      </c>
      <c r="F731" t="n">
        <v>-117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8</v>
      </c>
      <c r="N731" t="n">
        <v>0</v>
      </c>
      <c r="O731" t="n">
        <v>-1526</v>
      </c>
    </row>
    <row r="732">
      <c r="A732" s="39" t="n">
        <v>45991</v>
      </c>
      <c r="B732" t="inlineStr">
        <is>
          <t>Nov 16-30, 2025</t>
        </is>
      </c>
      <c r="C732" t="inlineStr">
        <is>
          <t>Forest Materials</t>
        </is>
      </c>
      <c r="D732" t="n">
        <v>-19</v>
      </c>
      <c r="E732" t="n">
        <v>-10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-29</v>
      </c>
    </row>
    <row r="733">
      <c r="A733" s="39" t="n">
        <v>45991</v>
      </c>
      <c r="B733" t="inlineStr">
        <is>
          <t>Nov 16-30, 2025</t>
        </is>
      </c>
      <c r="C733" t="inlineStr">
        <is>
          <t>Healthcare</t>
        </is>
      </c>
      <c r="D733" t="n">
        <v>743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743</v>
      </c>
    </row>
    <row r="734">
      <c r="A734" s="39" t="n">
        <v>45991</v>
      </c>
      <c r="B734" t="inlineStr">
        <is>
          <t>Nov 16-30, 2025</t>
        </is>
      </c>
      <c r="C734" t="inlineStr">
        <is>
          <t>Information Technology</t>
        </is>
      </c>
      <c r="D734" t="n">
        <v>-921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-921</v>
      </c>
    </row>
    <row r="735">
      <c r="A735" s="39" t="n">
        <v>45991</v>
      </c>
      <c r="B735" t="inlineStr">
        <is>
          <t>Nov 16-30, 2025</t>
        </is>
      </c>
      <c r="C735" t="inlineStr">
        <is>
          <t>Media, Entertainment &amp; Publication</t>
        </is>
      </c>
      <c r="D735" t="n">
        <v>-161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-161</v>
      </c>
    </row>
    <row r="736">
      <c r="A736" s="39" t="n">
        <v>45991</v>
      </c>
      <c r="B736" t="inlineStr">
        <is>
          <t>Nov 16-30, 2025</t>
        </is>
      </c>
      <c r="C736" t="inlineStr">
        <is>
          <t>Metals &amp; Mining</t>
        </is>
      </c>
      <c r="D736" t="n">
        <v>-571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-571</v>
      </c>
    </row>
    <row r="737">
      <c r="A737" s="39" t="n">
        <v>45991</v>
      </c>
      <c r="B737" t="inlineStr">
        <is>
          <t>Nov 16-30, 2025</t>
        </is>
      </c>
      <c r="C737" t="inlineStr">
        <is>
          <t>Oil, Gas &amp; Consumable Fuels</t>
        </is>
      </c>
      <c r="D737" t="n">
        <v>4177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4177</v>
      </c>
    </row>
    <row r="738">
      <c r="A738" s="39" t="n">
        <v>45991</v>
      </c>
      <c r="B738" t="inlineStr">
        <is>
          <t>Nov 16-30, 2025</t>
        </is>
      </c>
      <c r="C738" t="inlineStr">
        <is>
          <t>Others</t>
        </is>
      </c>
      <c r="D738" t="n">
        <v>199</v>
      </c>
      <c r="E738" t="n">
        <v>-1550</v>
      </c>
      <c r="F738" t="n">
        <v>249</v>
      </c>
      <c r="G738" t="n">
        <v>0</v>
      </c>
      <c r="H738" t="n">
        <v>0</v>
      </c>
      <c r="I738" t="n">
        <v>435</v>
      </c>
      <c r="J738" t="n">
        <v>127</v>
      </c>
      <c r="K738" t="n">
        <v>1</v>
      </c>
      <c r="L738" t="n">
        <v>0</v>
      </c>
      <c r="M738" t="n">
        <v>1021</v>
      </c>
      <c r="N738" t="n">
        <v>3</v>
      </c>
      <c r="O738" t="n">
        <v>485</v>
      </c>
    </row>
    <row r="739">
      <c r="A739" s="39" t="n">
        <v>45991</v>
      </c>
      <c r="B739" t="inlineStr">
        <is>
          <t>Nov 16-30, 2025</t>
        </is>
      </c>
      <c r="C739" t="inlineStr">
        <is>
          <t>Power</t>
        </is>
      </c>
      <c r="D739" t="n">
        <v>-103</v>
      </c>
      <c r="E739" t="n">
        <v>0</v>
      </c>
      <c r="F739" t="n">
        <v>0</v>
      </c>
      <c r="G739" t="n">
        <v>0</v>
      </c>
      <c r="H739" t="n">
        <v>13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-90</v>
      </c>
    </row>
    <row r="740">
      <c r="A740" s="39" t="n">
        <v>45991</v>
      </c>
      <c r="B740" t="inlineStr">
        <is>
          <t>Nov 16-30, 2025</t>
        </is>
      </c>
      <c r="C740" t="inlineStr">
        <is>
          <t>Realty</t>
        </is>
      </c>
      <c r="D740" t="n">
        <v>-1045</v>
      </c>
      <c r="E740" t="n">
        <v>0</v>
      </c>
      <c r="F740" t="n">
        <v>212</v>
      </c>
      <c r="G740" t="n">
        <v>0</v>
      </c>
      <c r="H740" t="n">
        <v>193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-640</v>
      </c>
    </row>
    <row r="741">
      <c r="A741" s="39" t="n">
        <v>45991</v>
      </c>
      <c r="B741" t="inlineStr">
        <is>
          <t>Nov 16-30, 2025</t>
        </is>
      </c>
      <c r="C741" t="inlineStr">
        <is>
          <t>Services</t>
        </is>
      </c>
      <c r="D741" t="n">
        <v>-307</v>
      </c>
      <c r="E741" t="n">
        <v>-52</v>
      </c>
      <c r="F741" t="n">
        <v>0</v>
      </c>
      <c r="G741" t="n">
        <v>0</v>
      </c>
      <c r="H741" t="n">
        <v>-23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-382</v>
      </c>
    </row>
    <row r="742">
      <c r="A742" s="39" t="n">
        <v>45991</v>
      </c>
      <c r="B742" t="inlineStr">
        <is>
          <t>Nov 16-30, 2025</t>
        </is>
      </c>
      <c r="C742" t="inlineStr">
        <is>
          <t>Sovereign</t>
        </is>
      </c>
      <c r="D742" t="n">
        <v>0</v>
      </c>
      <c r="E742" t="n">
        <v>272</v>
      </c>
      <c r="F742" t="n">
        <v>158</v>
      </c>
      <c r="G742" t="n">
        <v>-384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46</v>
      </c>
    </row>
    <row r="743">
      <c r="A743" s="39" t="n">
        <v>45991</v>
      </c>
      <c r="B743" t="inlineStr">
        <is>
          <t>Nov 16-30, 2025</t>
        </is>
      </c>
      <c r="C743" t="inlineStr">
        <is>
          <t>Telecommunication</t>
        </is>
      </c>
      <c r="D743" t="n">
        <v>4913</v>
      </c>
      <c r="E743" t="n">
        <v>0</v>
      </c>
      <c r="F743" t="n">
        <v>-200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4713</v>
      </c>
    </row>
    <row r="744">
      <c r="A744" s="39" t="n">
        <v>45991</v>
      </c>
      <c r="B744" t="inlineStr">
        <is>
          <t>Nov 16-30, 2025</t>
        </is>
      </c>
      <c r="C744" t="inlineStr">
        <is>
          <t>Textiles</t>
        </is>
      </c>
      <c r="D744" t="n">
        <v>-140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-140</v>
      </c>
    </row>
    <row r="745">
      <c r="A745" s="39" t="n">
        <v>45991</v>
      </c>
      <c r="B745" t="inlineStr">
        <is>
          <t>Nov 16-30, 2025</t>
        </is>
      </c>
      <c r="C745" t="inlineStr">
        <is>
          <t>Utilities</t>
        </is>
      </c>
      <c r="D745" t="n">
        <v>27</v>
      </c>
      <c r="E745" t="n">
        <v>-6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21</v>
      </c>
    </row>
    <row r="746">
      <c r="A746" s="39" t="n">
        <v>46006</v>
      </c>
      <c r="B746" t="inlineStr">
        <is>
          <t>Dec 01-15, 2025</t>
        </is>
      </c>
      <c r="C746" t="inlineStr">
        <is>
          <t>Automobile and Auto Components</t>
        </is>
      </c>
      <c r="D746" t="n">
        <v>611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611</v>
      </c>
    </row>
    <row r="747">
      <c r="A747" s="39" t="n">
        <v>46006</v>
      </c>
      <c r="B747" t="inlineStr">
        <is>
          <t>Dec 01-15, 2025</t>
        </is>
      </c>
      <c r="C747" t="inlineStr">
        <is>
          <t>Capital Goods</t>
        </is>
      </c>
      <c r="D747" t="n">
        <v>-1218</v>
      </c>
      <c r="E747" t="n">
        <v>-6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-1224</v>
      </c>
    </row>
    <row r="748">
      <c r="A748" s="39" t="n">
        <v>46006</v>
      </c>
      <c r="B748" t="inlineStr">
        <is>
          <t>Dec 01-15, 2025</t>
        </is>
      </c>
      <c r="C748" t="inlineStr">
        <is>
          <t>Chemicals</t>
        </is>
      </c>
      <c r="D748" t="n">
        <v>-23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-23</v>
      </c>
    </row>
    <row r="749">
      <c r="A749" s="39" t="n">
        <v>46006</v>
      </c>
      <c r="B749" t="inlineStr">
        <is>
          <t>Dec 01-15, 2025</t>
        </is>
      </c>
      <c r="C749" t="inlineStr">
        <is>
          <t>Construction</t>
        </is>
      </c>
      <c r="D749" t="n">
        <v>-175</v>
      </c>
      <c r="E749" t="n">
        <v>0</v>
      </c>
      <c r="F749" t="n">
        <v>0</v>
      </c>
      <c r="G749" t="n">
        <v>0</v>
      </c>
      <c r="H749" t="n">
        <v>-1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-176</v>
      </c>
    </row>
    <row r="750">
      <c r="A750" s="39" t="n">
        <v>46006</v>
      </c>
      <c r="B750" t="inlineStr">
        <is>
          <t>Dec 01-15, 2025</t>
        </is>
      </c>
      <c r="C750" t="inlineStr">
        <is>
          <t>Construction Materials</t>
        </is>
      </c>
      <c r="D750" t="n">
        <v>-1125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-1125</v>
      </c>
    </row>
    <row r="751">
      <c r="A751" s="39" t="n">
        <v>46006</v>
      </c>
      <c r="B751" t="inlineStr">
        <is>
          <t>Dec 01-15, 2025</t>
        </is>
      </c>
      <c r="C751" t="inlineStr">
        <is>
          <t>Consumer Durables</t>
        </is>
      </c>
      <c r="D751" t="n">
        <v>401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401</v>
      </c>
    </row>
    <row r="752">
      <c r="A752" s="39" t="n">
        <v>46006</v>
      </c>
      <c r="B752" t="inlineStr">
        <is>
          <t>Dec 01-15, 2025</t>
        </is>
      </c>
      <c r="C752" t="inlineStr">
        <is>
          <t>Consumer Services</t>
        </is>
      </c>
      <c r="D752" t="n">
        <v>-50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-50</v>
      </c>
    </row>
    <row r="753">
      <c r="A753" s="39" t="n">
        <v>46006</v>
      </c>
      <c r="B753" t="inlineStr">
        <is>
          <t>Dec 01-15, 2025</t>
        </is>
      </c>
      <c r="C753" t="inlineStr">
        <is>
          <t>Diversified</t>
        </is>
      </c>
      <c r="D753" t="n">
        <v>-80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-80</v>
      </c>
    </row>
    <row r="754">
      <c r="A754" s="39" t="n">
        <v>46006</v>
      </c>
      <c r="B754" t="inlineStr">
        <is>
          <t>Dec 01-15, 2025</t>
        </is>
      </c>
      <c r="C754" t="inlineStr">
        <is>
          <t>Fast Moving Consumer Goods</t>
        </is>
      </c>
      <c r="D754" t="n">
        <v>-1419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-1419</v>
      </c>
    </row>
    <row r="755">
      <c r="A755" s="39" t="n">
        <v>46006</v>
      </c>
      <c r="B755" t="inlineStr">
        <is>
          <t>Dec 01-15, 2025</t>
        </is>
      </c>
      <c r="C755" t="inlineStr">
        <is>
          <t>Financial Services</t>
        </is>
      </c>
      <c r="D755" t="n">
        <v>-6516</v>
      </c>
      <c r="E755" t="n">
        <v>-545</v>
      </c>
      <c r="F755" t="n">
        <v>-1544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54</v>
      </c>
      <c r="N755" t="n">
        <v>0</v>
      </c>
      <c r="O755" t="n">
        <v>-8551</v>
      </c>
    </row>
    <row r="756">
      <c r="A756" s="39" t="n">
        <v>46006</v>
      </c>
      <c r="B756" t="inlineStr">
        <is>
          <t>Dec 01-15, 2025</t>
        </is>
      </c>
      <c r="C756" t="inlineStr">
        <is>
          <t>Forest Materials</t>
        </is>
      </c>
      <c r="D756" t="n">
        <v>-54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-54</v>
      </c>
    </row>
    <row r="757">
      <c r="A757" s="39" t="n">
        <v>46006</v>
      </c>
      <c r="B757" t="inlineStr">
        <is>
          <t>Dec 01-15, 2025</t>
        </is>
      </c>
      <c r="C757" t="inlineStr">
        <is>
          <t>Healthcare</t>
        </is>
      </c>
      <c r="D757" t="n">
        <v>-2351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-2351</v>
      </c>
    </row>
    <row r="758">
      <c r="A758" s="39" t="n">
        <v>46006</v>
      </c>
      <c r="B758" t="inlineStr">
        <is>
          <t>Dec 01-15, 2025</t>
        </is>
      </c>
      <c r="C758" t="inlineStr">
        <is>
          <t>Information Technology</t>
        </is>
      </c>
      <c r="D758" t="n">
        <v>-3331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-3331</v>
      </c>
    </row>
    <row r="759">
      <c r="A759" s="39" t="n">
        <v>46006</v>
      </c>
      <c r="B759" t="inlineStr">
        <is>
          <t>Dec 01-15, 2025</t>
        </is>
      </c>
      <c r="C759" t="inlineStr">
        <is>
          <t>Media, Entertainment &amp; Publication</t>
        </is>
      </c>
      <c r="D759" t="n">
        <v>-39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-39</v>
      </c>
    </row>
    <row r="760">
      <c r="A760" s="39" t="n">
        <v>46006</v>
      </c>
      <c r="B760" t="inlineStr">
        <is>
          <t>Dec 01-15, 2025</t>
        </is>
      </c>
      <c r="C760" t="inlineStr">
        <is>
          <t>Metals &amp; Mining</t>
        </is>
      </c>
      <c r="D760" t="n">
        <v>807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807</v>
      </c>
    </row>
    <row r="761">
      <c r="A761" s="39" t="n">
        <v>46006</v>
      </c>
      <c r="B761" t="inlineStr">
        <is>
          <t>Dec 01-15, 2025</t>
        </is>
      </c>
      <c r="C761" t="inlineStr">
        <is>
          <t>Oil, Gas &amp; Consumable Fuels</t>
        </is>
      </c>
      <c r="D761" t="n">
        <v>3001</v>
      </c>
      <c r="E761" t="n">
        <v>-104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2897</v>
      </c>
    </row>
    <row r="762">
      <c r="A762" s="39" t="n">
        <v>46006</v>
      </c>
      <c r="B762" t="inlineStr">
        <is>
          <t>Dec 01-15, 2025</t>
        </is>
      </c>
      <c r="C762" t="inlineStr">
        <is>
          <t>Others</t>
        </is>
      </c>
      <c r="D762" t="n">
        <v>918</v>
      </c>
      <c r="E762" t="n">
        <v>130</v>
      </c>
      <c r="F762" t="n">
        <v>1190</v>
      </c>
      <c r="G762" t="n">
        <v>0</v>
      </c>
      <c r="H762" t="n">
        <v>81</v>
      </c>
      <c r="I762" t="n">
        <v>81</v>
      </c>
      <c r="J762" t="n">
        <v>-72</v>
      </c>
      <c r="K762" t="n">
        <v>97</v>
      </c>
      <c r="L762" t="n">
        <v>0</v>
      </c>
      <c r="M762" t="n">
        <v>93</v>
      </c>
      <c r="N762" t="n">
        <v>0</v>
      </c>
      <c r="O762" t="n">
        <v>2518</v>
      </c>
    </row>
    <row r="763">
      <c r="A763" s="39" t="n">
        <v>46006</v>
      </c>
      <c r="B763" t="inlineStr">
        <is>
          <t>Dec 01-15, 2025</t>
        </is>
      </c>
      <c r="C763" t="inlineStr">
        <is>
          <t>Power</t>
        </is>
      </c>
      <c r="D763" t="n">
        <v>-2118</v>
      </c>
      <c r="E763" t="n">
        <v>0</v>
      </c>
      <c r="F763" t="n">
        <v>0</v>
      </c>
      <c r="G763" t="n">
        <v>0</v>
      </c>
      <c r="H763" t="n">
        <v>-11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-2129</v>
      </c>
    </row>
    <row r="764">
      <c r="A764" s="39" t="n">
        <v>46006</v>
      </c>
      <c r="B764" t="inlineStr">
        <is>
          <t>Dec 01-15, 2025</t>
        </is>
      </c>
      <c r="C764" t="inlineStr">
        <is>
          <t>Realty</t>
        </is>
      </c>
      <c r="D764" t="n">
        <v>-670</v>
      </c>
      <c r="E764" t="n">
        <v>0</v>
      </c>
      <c r="F764" t="n">
        <v>110</v>
      </c>
      <c r="G764" t="n">
        <v>0</v>
      </c>
      <c r="H764" t="n">
        <v>254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-306</v>
      </c>
    </row>
    <row r="765">
      <c r="A765" s="39" t="n">
        <v>46006</v>
      </c>
      <c r="B765" t="inlineStr">
        <is>
          <t>Dec 01-15, 2025</t>
        </is>
      </c>
      <c r="C765" t="inlineStr">
        <is>
          <t>Services</t>
        </is>
      </c>
      <c r="D765" t="n">
        <v>-3237</v>
      </c>
      <c r="E765" t="n">
        <v>0</v>
      </c>
      <c r="F765" t="n">
        <v>0</v>
      </c>
      <c r="G765" t="n">
        <v>0</v>
      </c>
      <c r="H765" t="n">
        <v>-1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-3238</v>
      </c>
    </row>
    <row r="766">
      <c r="A766" s="39" t="n">
        <v>46006</v>
      </c>
      <c r="B766" t="inlineStr">
        <is>
          <t>Dec 01-15, 2025</t>
        </is>
      </c>
      <c r="C766" t="inlineStr">
        <is>
          <t>Sovereign</t>
        </is>
      </c>
      <c r="D766" t="n">
        <v>0</v>
      </c>
      <c r="E766" t="n">
        <v>587</v>
      </c>
      <c r="F766" t="n">
        <v>-23</v>
      </c>
      <c r="G766" t="n">
        <v>-7562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-6998</v>
      </c>
    </row>
    <row r="767">
      <c r="A767" s="39" t="n">
        <v>46006</v>
      </c>
      <c r="B767" t="inlineStr">
        <is>
          <t>Dec 01-15, 2025</t>
        </is>
      </c>
      <c r="C767" t="inlineStr">
        <is>
          <t>Telecommunication</t>
        </is>
      </c>
      <c r="D767" t="n">
        <v>-879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-879</v>
      </c>
    </row>
    <row r="768">
      <c r="A768" s="39" t="n">
        <v>46006</v>
      </c>
      <c r="B768" t="inlineStr">
        <is>
          <t>Dec 01-15, 2025</t>
        </is>
      </c>
      <c r="C768" t="inlineStr">
        <is>
          <t>Textiles</t>
        </is>
      </c>
      <c r="D768" t="n">
        <v>-263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-263</v>
      </c>
    </row>
    <row r="769">
      <c r="A769" s="39" t="n">
        <v>46006</v>
      </c>
      <c r="B769" t="inlineStr">
        <is>
          <t>Dec 01-15, 2025</t>
        </is>
      </c>
      <c r="C769" t="inlineStr">
        <is>
          <t>Utilities</t>
        </is>
      </c>
      <c r="D769" t="n">
        <v>-13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-13</v>
      </c>
    </row>
    <row r="770">
      <c r="A770" s="39" t="n">
        <v>46022</v>
      </c>
      <c r="B770" t="inlineStr">
        <is>
          <t>Dec 16-31, 2025</t>
        </is>
      </c>
      <c r="C770" t="inlineStr">
        <is>
          <t>Automobile and Auto Components</t>
        </is>
      </c>
      <c r="D770" t="n">
        <v>-2656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-2656</v>
      </c>
    </row>
    <row r="771">
      <c r="A771" s="39" t="n">
        <v>46022</v>
      </c>
      <c r="B771" t="inlineStr">
        <is>
          <t>Dec 16-31, 2025</t>
        </is>
      </c>
      <c r="C771" t="inlineStr">
        <is>
          <t>Capital Goods</t>
        </is>
      </c>
      <c r="D771" t="n">
        <v>-1348</v>
      </c>
      <c r="E771" t="n">
        <v>-473</v>
      </c>
      <c r="F771" t="n">
        <v>-21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-1842</v>
      </c>
    </row>
    <row r="772">
      <c r="A772" s="39" t="n">
        <v>46022</v>
      </c>
      <c r="B772" t="inlineStr">
        <is>
          <t>Dec 16-31, 2025</t>
        </is>
      </c>
      <c r="C772" t="inlineStr">
        <is>
          <t>Chemicals</t>
        </is>
      </c>
      <c r="D772" t="n">
        <v>-25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-25</v>
      </c>
    </row>
    <row r="773">
      <c r="A773" s="39" t="n">
        <v>46022</v>
      </c>
      <c r="B773" t="inlineStr">
        <is>
          <t>Dec 16-31, 2025</t>
        </is>
      </c>
      <c r="C773" t="inlineStr">
        <is>
          <t>Construction</t>
        </is>
      </c>
      <c r="D773" t="n">
        <v>382</v>
      </c>
      <c r="E773" t="n">
        <v>0</v>
      </c>
      <c r="F773" t="n">
        <v>0</v>
      </c>
      <c r="G773" t="n">
        <v>0</v>
      </c>
      <c r="H773" t="n">
        <v>-1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381</v>
      </c>
    </row>
    <row r="774">
      <c r="A774" s="39" t="n">
        <v>46022</v>
      </c>
      <c r="B774" t="inlineStr">
        <is>
          <t>Dec 16-31, 2025</t>
        </is>
      </c>
      <c r="C774" t="inlineStr">
        <is>
          <t>Construction Materials</t>
        </is>
      </c>
      <c r="D774" t="n">
        <v>-549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-549</v>
      </c>
    </row>
    <row r="775">
      <c r="A775" s="39" t="n">
        <v>46022</v>
      </c>
      <c r="B775" t="inlineStr">
        <is>
          <t>Dec 16-31, 2025</t>
        </is>
      </c>
      <c r="C775" t="inlineStr">
        <is>
          <t>Consumer Durables</t>
        </is>
      </c>
      <c r="D775" t="n">
        <v>198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198</v>
      </c>
    </row>
    <row r="776">
      <c r="A776" s="39" t="n">
        <v>46022</v>
      </c>
      <c r="B776" t="inlineStr">
        <is>
          <t>Dec 16-31, 2025</t>
        </is>
      </c>
      <c r="C776" t="inlineStr">
        <is>
          <t>Consumer Services</t>
        </is>
      </c>
      <c r="D776" t="n">
        <v>3390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3390</v>
      </c>
    </row>
    <row r="777">
      <c r="A777" s="39" t="n">
        <v>46022</v>
      </c>
      <c r="B777" t="inlineStr">
        <is>
          <t>Dec 16-31, 2025</t>
        </is>
      </c>
      <c r="C777" t="inlineStr">
        <is>
          <t>Diversified</t>
        </is>
      </c>
      <c r="D777" t="n">
        <v>-29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-29</v>
      </c>
    </row>
    <row r="778">
      <c r="A778" s="39" t="n">
        <v>46022</v>
      </c>
      <c r="B778" t="inlineStr">
        <is>
          <t>Dec 16-31, 2025</t>
        </is>
      </c>
      <c r="C778" t="inlineStr">
        <is>
          <t>Fast Moving Consumer Goods</t>
        </is>
      </c>
      <c r="D778" t="n">
        <v>-4425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-4425</v>
      </c>
    </row>
    <row r="779">
      <c r="A779" s="39" t="n">
        <v>46022</v>
      </c>
      <c r="B779" t="inlineStr">
        <is>
          <t>Dec 16-31, 2025</t>
        </is>
      </c>
      <c r="C779" t="inlineStr">
        <is>
          <t>Financial Services</t>
        </is>
      </c>
      <c r="D779" t="n">
        <v>-4009</v>
      </c>
      <c r="E779" t="n">
        <v>-24</v>
      </c>
      <c r="F779" t="n">
        <v>-3157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-152</v>
      </c>
      <c r="N779" t="n">
        <v>0</v>
      </c>
      <c r="O779" t="n">
        <v>-7342</v>
      </c>
    </row>
    <row r="780">
      <c r="A780" s="39" t="n">
        <v>46022</v>
      </c>
      <c r="B780" t="inlineStr">
        <is>
          <t>Dec 16-31, 2025</t>
        </is>
      </c>
      <c r="C780" t="inlineStr">
        <is>
          <t>Forest Materials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s="39" t="n">
        <v>46022</v>
      </c>
      <c r="B781" t="inlineStr">
        <is>
          <t>Dec 16-31, 2025</t>
        </is>
      </c>
      <c r="C781" t="inlineStr">
        <is>
          <t>Healthcare</t>
        </is>
      </c>
      <c r="D781" t="n">
        <v>-643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-643</v>
      </c>
    </row>
    <row r="782">
      <c r="A782" s="39" t="n">
        <v>46022</v>
      </c>
      <c r="B782" t="inlineStr">
        <is>
          <t>Dec 16-31, 2025</t>
        </is>
      </c>
      <c r="C782" t="inlineStr">
        <is>
          <t>Information Technology</t>
        </is>
      </c>
      <c r="D782" t="n">
        <v>4457</v>
      </c>
      <c r="E782" t="n">
        <v>135</v>
      </c>
      <c r="F782" t="n">
        <v>-135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4457</v>
      </c>
    </row>
    <row r="783">
      <c r="A783" s="39" t="n">
        <v>46022</v>
      </c>
      <c r="B783" t="inlineStr">
        <is>
          <t>Dec 16-31, 2025</t>
        </is>
      </c>
      <c r="C783" t="inlineStr">
        <is>
          <t>Media, Entertainment &amp; Publication</t>
        </is>
      </c>
      <c r="D783" t="n">
        <v>-281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-281</v>
      </c>
    </row>
    <row r="784">
      <c r="A784" s="39" t="n">
        <v>46022</v>
      </c>
      <c r="B784" t="inlineStr">
        <is>
          <t>Dec 16-31, 2025</t>
        </is>
      </c>
      <c r="C784" t="inlineStr">
        <is>
          <t>Metals &amp; Mining</t>
        </is>
      </c>
      <c r="D784" t="n">
        <v>2177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2177</v>
      </c>
    </row>
    <row r="785">
      <c r="A785" s="39" t="n">
        <v>46022</v>
      </c>
      <c r="B785" t="inlineStr">
        <is>
          <t>Dec 16-31, 2025</t>
        </is>
      </c>
      <c r="C785" t="inlineStr">
        <is>
          <t>Oil, Gas &amp; Consumable Fuels</t>
        </is>
      </c>
      <c r="D785" t="n">
        <v>-645</v>
      </c>
      <c r="E785" t="n">
        <v>0</v>
      </c>
      <c r="F785" t="n">
        <v>0</v>
      </c>
      <c r="G785" t="n">
        <v>0</v>
      </c>
      <c r="H785" t="n">
        <v>-1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-646</v>
      </c>
    </row>
    <row r="786">
      <c r="A786" s="39" t="n">
        <v>46022</v>
      </c>
      <c r="B786" t="inlineStr">
        <is>
          <t>Dec 16-31, 2025</t>
        </is>
      </c>
      <c r="C786" t="inlineStr">
        <is>
          <t>Others</t>
        </is>
      </c>
      <c r="D786" t="n">
        <v>338</v>
      </c>
      <c r="E786" t="n">
        <v>587</v>
      </c>
      <c r="F786" t="n">
        <v>812</v>
      </c>
      <c r="G786" t="n">
        <v>0</v>
      </c>
      <c r="H786" t="n">
        <v>0</v>
      </c>
      <c r="I786" t="n">
        <v>44</v>
      </c>
      <c r="J786" t="n">
        <v>-275</v>
      </c>
      <c r="K786" t="n">
        <v>99</v>
      </c>
      <c r="L786" t="n">
        <v>0</v>
      </c>
      <c r="M786" t="n">
        <v>4</v>
      </c>
      <c r="N786" t="n">
        <v>0</v>
      </c>
      <c r="O786" t="n">
        <v>1609</v>
      </c>
    </row>
    <row r="787">
      <c r="A787" s="39" t="n">
        <v>46022</v>
      </c>
      <c r="B787" t="inlineStr">
        <is>
          <t>Dec 16-31, 2025</t>
        </is>
      </c>
      <c r="C787" t="inlineStr">
        <is>
          <t>Power</t>
        </is>
      </c>
      <c r="D787" t="n">
        <v>-635</v>
      </c>
      <c r="E787" t="n">
        <v>0</v>
      </c>
      <c r="F787" t="n">
        <v>0</v>
      </c>
      <c r="G787" t="n">
        <v>0</v>
      </c>
      <c r="H787" t="n">
        <v>-786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-1421</v>
      </c>
    </row>
    <row r="788">
      <c r="A788" s="39" t="n">
        <v>46022</v>
      </c>
      <c r="B788" t="inlineStr">
        <is>
          <t>Dec 16-31, 2025</t>
        </is>
      </c>
      <c r="C788" t="inlineStr">
        <is>
          <t>Realty</t>
        </is>
      </c>
      <c r="D788" t="n">
        <v>-271</v>
      </c>
      <c r="E788" t="n">
        <v>762</v>
      </c>
      <c r="F788" t="n">
        <v>499</v>
      </c>
      <c r="G788" t="n">
        <v>0</v>
      </c>
      <c r="H788" t="n">
        <v>-124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866</v>
      </c>
    </row>
    <row r="789">
      <c r="A789" s="39" t="n">
        <v>46022</v>
      </c>
      <c r="B789" t="inlineStr">
        <is>
          <t>Dec 16-31, 2025</t>
        </is>
      </c>
      <c r="C789" t="inlineStr">
        <is>
          <t>Services</t>
        </is>
      </c>
      <c r="D789" t="n">
        <v>-1041</v>
      </c>
      <c r="E789" t="n">
        <v>0</v>
      </c>
      <c r="F789" t="n">
        <v>0</v>
      </c>
      <c r="G789" t="n">
        <v>0</v>
      </c>
      <c r="H789" t="n">
        <v>59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-982</v>
      </c>
    </row>
    <row r="790">
      <c r="A790" s="39" t="n">
        <v>46022</v>
      </c>
      <c r="B790" t="inlineStr">
        <is>
          <t>Dec 16-31, 2025</t>
        </is>
      </c>
      <c r="C790" t="inlineStr">
        <is>
          <t>Sovereign</t>
        </is>
      </c>
      <c r="D790" t="n">
        <v>0</v>
      </c>
      <c r="E790" t="n">
        <v>-331</v>
      </c>
      <c r="F790" t="n">
        <v>15</v>
      </c>
      <c r="G790" t="n">
        <v>-6299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-6615</v>
      </c>
    </row>
    <row r="791">
      <c r="A791" s="39" t="n">
        <v>46022</v>
      </c>
      <c r="B791" t="inlineStr">
        <is>
          <t>Dec 16-31, 2025</t>
        </is>
      </c>
      <c r="C791" t="inlineStr">
        <is>
          <t>Telecommunication</t>
        </is>
      </c>
      <c r="D791" t="n">
        <v>1113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1113</v>
      </c>
    </row>
    <row r="792">
      <c r="A792" s="39" t="n">
        <v>46022</v>
      </c>
      <c r="B792" t="inlineStr">
        <is>
          <t>Dec 16-31, 2025</t>
        </is>
      </c>
      <c r="C792" t="inlineStr">
        <is>
          <t>Textiles</t>
        </is>
      </c>
      <c r="D792" t="n">
        <v>-274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-274</v>
      </c>
    </row>
    <row r="793">
      <c r="A793" s="39" t="n">
        <v>46022</v>
      </c>
      <c r="B793" t="inlineStr">
        <is>
          <t>Dec 16-31, 2025</t>
        </is>
      </c>
      <c r="C793" t="inlineStr">
        <is>
          <t>Utilities</t>
        </is>
      </c>
      <c r="D793" t="n">
        <v>-17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-17</v>
      </c>
    </row>
    <row r="794">
      <c r="A794" s="39" t="n">
        <v>46037</v>
      </c>
      <c r="B794" t="inlineStr">
        <is>
          <t>Jan 01-15, 2026</t>
        </is>
      </c>
      <c r="C794" t="inlineStr">
        <is>
          <t>Automobile and Auto Components</t>
        </is>
      </c>
      <c r="D794" t="n">
        <v>-500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-500</v>
      </c>
    </row>
    <row r="795">
      <c r="A795" s="39" t="n">
        <v>46037</v>
      </c>
      <c r="B795" t="inlineStr">
        <is>
          <t>Jan 01-15, 2026</t>
        </is>
      </c>
      <c r="C795" t="inlineStr">
        <is>
          <t>Capital Goods</t>
        </is>
      </c>
      <c r="D795" t="n">
        <v>326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326</v>
      </c>
    </row>
    <row r="796">
      <c r="A796" s="39" t="n">
        <v>46037</v>
      </c>
      <c r="B796" t="inlineStr">
        <is>
          <t>Jan 01-15, 2026</t>
        </is>
      </c>
      <c r="C796" t="inlineStr">
        <is>
          <t>Chemicals</t>
        </is>
      </c>
      <c r="D796" t="n">
        <v>69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69</v>
      </c>
    </row>
    <row r="797">
      <c r="A797" s="39" t="n">
        <v>46037</v>
      </c>
      <c r="B797" t="inlineStr">
        <is>
          <t>Jan 01-15, 2026</t>
        </is>
      </c>
      <c r="C797" t="inlineStr">
        <is>
          <t>Construction</t>
        </is>
      </c>
      <c r="D797" t="n">
        <v>-455</v>
      </c>
      <c r="E797" t="n">
        <v>-13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-468</v>
      </c>
    </row>
    <row r="798">
      <c r="A798" s="39" t="n">
        <v>46037</v>
      </c>
      <c r="B798" t="inlineStr">
        <is>
          <t>Jan 01-15, 2026</t>
        </is>
      </c>
      <c r="C798" t="inlineStr">
        <is>
          <t>Construction Materials</t>
        </is>
      </c>
      <c r="D798" t="n">
        <v>-481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-481</v>
      </c>
    </row>
    <row r="799">
      <c r="A799" s="39" t="n">
        <v>46037</v>
      </c>
      <c r="B799" t="inlineStr">
        <is>
          <t>Jan 01-15, 2026</t>
        </is>
      </c>
      <c r="C799" t="inlineStr">
        <is>
          <t>Consumer Durables</t>
        </is>
      </c>
      <c r="D799" t="n">
        <v>322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322</v>
      </c>
    </row>
    <row r="800">
      <c r="A800" s="39" t="n">
        <v>46037</v>
      </c>
      <c r="B800" t="inlineStr">
        <is>
          <t>Jan 01-15, 2026</t>
        </is>
      </c>
      <c r="C800" t="inlineStr">
        <is>
          <t>Consumer Services</t>
        </is>
      </c>
      <c r="D800" t="n">
        <v>-1952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-1952</v>
      </c>
    </row>
    <row r="801">
      <c r="A801" s="39" t="n">
        <v>46037</v>
      </c>
      <c r="B801" t="inlineStr">
        <is>
          <t>Jan 01-15, 2026</t>
        </is>
      </c>
      <c r="C801" t="inlineStr">
        <is>
          <t>Diversified</t>
        </is>
      </c>
      <c r="D801" t="n">
        <v>-14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-14</v>
      </c>
    </row>
    <row r="802">
      <c r="A802" s="39" t="n">
        <v>46037</v>
      </c>
      <c r="B802" t="inlineStr">
        <is>
          <t>Jan 01-15, 2026</t>
        </is>
      </c>
      <c r="C802" t="inlineStr">
        <is>
          <t>Fast Moving Consumer Goods</t>
        </is>
      </c>
      <c r="D802" t="n">
        <v>-6128</v>
      </c>
      <c r="E802" t="n">
        <v>-12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-6140</v>
      </c>
    </row>
    <row r="803">
      <c r="A803" s="39" t="n">
        <v>46037</v>
      </c>
      <c r="B803" t="inlineStr">
        <is>
          <t>Jan 01-15, 2026</t>
        </is>
      </c>
      <c r="C803" t="inlineStr">
        <is>
          <t>Financial Services</t>
        </is>
      </c>
      <c r="D803" t="n">
        <v>-3190</v>
      </c>
      <c r="E803" t="n">
        <v>-265</v>
      </c>
      <c r="F803" t="n">
        <v>-126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90</v>
      </c>
      <c r="N803" t="n">
        <v>0</v>
      </c>
      <c r="O803" t="n">
        <v>-3491</v>
      </c>
    </row>
    <row r="804">
      <c r="A804" s="39" t="n">
        <v>46037</v>
      </c>
      <c r="B804" t="inlineStr">
        <is>
          <t>Jan 01-15, 2026</t>
        </is>
      </c>
      <c r="C804" t="inlineStr">
        <is>
          <t>Forest Materials</t>
        </is>
      </c>
      <c r="D804" t="n">
        <v>-10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-10</v>
      </c>
    </row>
    <row r="805">
      <c r="A805" s="39" t="n">
        <v>46037</v>
      </c>
      <c r="B805" t="inlineStr">
        <is>
          <t>Jan 01-15, 2026</t>
        </is>
      </c>
      <c r="C805" t="inlineStr">
        <is>
          <t>Healthcare</t>
        </is>
      </c>
      <c r="D805" t="n">
        <v>-1049</v>
      </c>
      <c r="E805" t="n">
        <v>-17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-1066</v>
      </c>
    </row>
    <row r="806">
      <c r="A806" s="39" t="n">
        <v>46037</v>
      </c>
      <c r="B806" t="inlineStr">
        <is>
          <t>Jan 01-15, 2026</t>
        </is>
      </c>
      <c r="C806" t="inlineStr">
        <is>
          <t>Information Technology</t>
        </is>
      </c>
      <c r="D806" t="n">
        <v>-2075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-2075</v>
      </c>
    </row>
    <row r="807">
      <c r="A807" s="39" t="n">
        <v>46037</v>
      </c>
      <c r="B807" t="inlineStr">
        <is>
          <t>Jan 01-15, 2026</t>
        </is>
      </c>
      <c r="C807" t="inlineStr">
        <is>
          <t>Media, Entertainment &amp; Publication</t>
        </is>
      </c>
      <c r="D807" t="n">
        <v>-123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-123</v>
      </c>
    </row>
    <row r="808">
      <c r="A808" s="39" t="n">
        <v>46037</v>
      </c>
      <c r="B808" t="inlineStr">
        <is>
          <t>Jan 01-15, 2026</t>
        </is>
      </c>
      <c r="C808" t="inlineStr">
        <is>
          <t>Metals &amp; Mining</t>
        </is>
      </c>
      <c r="D808" t="n">
        <v>2689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2689</v>
      </c>
    </row>
    <row r="809">
      <c r="A809" s="39" t="n">
        <v>46037</v>
      </c>
      <c r="B809" t="inlineStr">
        <is>
          <t>Jan 01-15, 2026</t>
        </is>
      </c>
      <c r="C809" t="inlineStr">
        <is>
          <t>Oil, Gas &amp; Consumable Fuels</t>
        </is>
      </c>
      <c r="D809" t="n">
        <v>-549</v>
      </c>
      <c r="E809" t="n">
        <v>1030</v>
      </c>
      <c r="F809" t="n">
        <v>0</v>
      </c>
      <c r="G809" t="n">
        <v>0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485</v>
      </c>
    </row>
    <row r="810">
      <c r="A810" s="39" t="n">
        <v>46037</v>
      </c>
      <c r="B810" t="inlineStr">
        <is>
          <t>Jan 01-15, 2026</t>
        </is>
      </c>
      <c r="C810" t="inlineStr">
        <is>
          <t>Others</t>
        </is>
      </c>
      <c r="D810" t="n">
        <v>-1469</v>
      </c>
      <c r="E810" t="n">
        <v>-5281</v>
      </c>
      <c r="F810" t="n">
        <v>-443</v>
      </c>
      <c r="G810" t="n">
        <v>0</v>
      </c>
      <c r="H810" t="n">
        <v>0</v>
      </c>
      <c r="I810" t="n">
        <v>72</v>
      </c>
      <c r="J810" t="n">
        <v>40</v>
      </c>
      <c r="K810" t="n">
        <v>49</v>
      </c>
      <c r="L810" t="n">
        <v>0</v>
      </c>
      <c r="M810" t="n">
        <v>-19</v>
      </c>
      <c r="N810" t="n">
        <v>-5</v>
      </c>
      <c r="O810" t="n">
        <v>-7056</v>
      </c>
    </row>
    <row r="811">
      <c r="A811" s="39" t="n">
        <v>46037</v>
      </c>
      <c r="B811" t="inlineStr">
        <is>
          <t>Jan 01-15, 2026</t>
        </is>
      </c>
      <c r="C811" t="inlineStr">
        <is>
          <t>Power</t>
        </is>
      </c>
      <c r="D811" t="n">
        <v>-340</v>
      </c>
      <c r="E811" t="n">
        <v>-44</v>
      </c>
      <c r="F811" t="n">
        <v>0</v>
      </c>
      <c r="G811" t="n">
        <v>0</v>
      </c>
      <c r="H811" t="n">
        <v>-2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-386</v>
      </c>
    </row>
    <row r="812">
      <c r="A812" s="39" t="n">
        <v>46037</v>
      </c>
      <c r="B812" t="inlineStr">
        <is>
          <t>Jan 01-15, 2026</t>
        </is>
      </c>
      <c r="C812" t="inlineStr">
        <is>
          <t>Realty</t>
        </is>
      </c>
      <c r="D812" t="n">
        <v>-699</v>
      </c>
      <c r="E812" t="n">
        <v>0</v>
      </c>
      <c r="F812" t="n">
        <v>0</v>
      </c>
      <c r="G812" t="n">
        <v>0</v>
      </c>
      <c r="H812" t="n">
        <v>79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-620</v>
      </c>
    </row>
    <row r="813">
      <c r="A813" s="39" t="n">
        <v>46037</v>
      </c>
      <c r="B813" t="inlineStr">
        <is>
          <t>Jan 01-15, 2026</t>
        </is>
      </c>
      <c r="C813" t="inlineStr">
        <is>
          <t>Services</t>
        </is>
      </c>
      <c r="D813" t="n">
        <v>-1587</v>
      </c>
      <c r="E813" t="n">
        <v>-2</v>
      </c>
      <c r="F813" t="n">
        <v>0</v>
      </c>
      <c r="G813" t="n">
        <v>0</v>
      </c>
      <c r="H813" t="n">
        <v>-12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-1601</v>
      </c>
    </row>
    <row r="814">
      <c r="A814" s="39" t="n">
        <v>46037</v>
      </c>
      <c r="B814" t="inlineStr">
        <is>
          <t>Jan 01-15, 2026</t>
        </is>
      </c>
      <c r="C814" t="inlineStr">
        <is>
          <t>Sovereign</t>
        </is>
      </c>
      <c r="D814" t="n">
        <v>0</v>
      </c>
      <c r="E814" t="n">
        <v>282</v>
      </c>
      <c r="F814" t="n">
        <v>449</v>
      </c>
      <c r="G814" t="n">
        <v>6676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7407</v>
      </c>
    </row>
    <row r="815">
      <c r="A815" s="39" t="n">
        <v>46037</v>
      </c>
      <c r="B815" t="inlineStr">
        <is>
          <t>Jan 01-15, 2026</t>
        </is>
      </c>
      <c r="C815" t="inlineStr">
        <is>
          <t>Telecommunication</t>
        </is>
      </c>
      <c r="D815" t="n">
        <v>-1497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-1497</v>
      </c>
    </row>
    <row r="816">
      <c r="A816" s="39" t="n">
        <v>46037</v>
      </c>
      <c r="B816" t="inlineStr">
        <is>
          <t>Jan 01-15, 2026</t>
        </is>
      </c>
      <c r="C816" t="inlineStr">
        <is>
          <t>Textiles</t>
        </is>
      </c>
      <c r="D816" t="n">
        <v>-176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-176</v>
      </c>
    </row>
    <row r="817">
      <c r="A817" s="39" t="n">
        <v>46037</v>
      </c>
      <c r="B817" t="inlineStr">
        <is>
          <t>Jan 01-15, 2026</t>
        </is>
      </c>
      <c r="C817" t="inlineStr">
        <is>
          <t>Utilities</t>
        </is>
      </c>
      <c r="D817" t="n">
        <v>-126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-126</v>
      </c>
    </row>
    <row r="818">
      <c r="A818" s="39" t="n">
        <v>46053</v>
      </c>
      <c r="B818" t="inlineStr">
        <is>
          <t>Jan 16-31, 2026</t>
        </is>
      </c>
      <c r="C818" t="inlineStr">
        <is>
          <t>Automobile and Auto Components</t>
        </is>
      </c>
      <c r="D818" t="n">
        <v>-3094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-3094</v>
      </c>
    </row>
    <row r="819">
      <c r="A819" s="39" t="n">
        <v>46053</v>
      </c>
      <c r="B819" t="inlineStr">
        <is>
          <t>Jan 16-31, 2026</t>
        </is>
      </c>
      <c r="C819" t="inlineStr">
        <is>
          <t>Capital Goods</t>
        </is>
      </c>
      <c r="D819" t="n">
        <v>2435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2435</v>
      </c>
    </row>
    <row r="820">
      <c r="A820" s="39" t="n">
        <v>46053</v>
      </c>
      <c r="B820" t="inlineStr">
        <is>
          <t>Jan 16-31, 2026</t>
        </is>
      </c>
      <c r="C820" t="inlineStr">
        <is>
          <t>Chemicals</t>
        </is>
      </c>
      <c r="D820" t="n">
        <v>71</v>
      </c>
      <c r="E820" t="n">
        <v>0</v>
      </c>
      <c r="F820" t="n">
        <v>-92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-21</v>
      </c>
    </row>
    <row r="821">
      <c r="A821" s="39" t="n">
        <v>46053</v>
      </c>
      <c r="B821" t="inlineStr">
        <is>
          <t>Jan 16-31, 2026</t>
        </is>
      </c>
      <c r="C821" t="inlineStr">
        <is>
          <t>Construction</t>
        </is>
      </c>
      <c r="D821" t="n">
        <v>-1077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-1077</v>
      </c>
    </row>
    <row r="822">
      <c r="A822" s="39" t="n">
        <v>46053</v>
      </c>
      <c r="B822" t="inlineStr">
        <is>
          <t>Jan 16-31, 2026</t>
        </is>
      </c>
      <c r="C822" t="inlineStr">
        <is>
          <t>Construction Materials</t>
        </is>
      </c>
      <c r="D822" t="n">
        <v>-376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-376</v>
      </c>
    </row>
    <row r="823">
      <c r="A823" s="39" t="n">
        <v>46053</v>
      </c>
      <c r="B823" t="inlineStr">
        <is>
          <t>Jan 16-31, 2026</t>
        </is>
      </c>
      <c r="C823" t="inlineStr">
        <is>
          <t>Consumer Durables</t>
        </is>
      </c>
      <c r="D823" t="n">
        <v>-1372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-1372</v>
      </c>
    </row>
    <row r="824">
      <c r="A824" s="39" t="n">
        <v>46053</v>
      </c>
      <c r="B824" t="inlineStr">
        <is>
          <t>Jan 16-31, 2026</t>
        </is>
      </c>
      <c r="C824" t="inlineStr">
        <is>
          <t>Consumer Services</t>
        </is>
      </c>
      <c r="D824" t="n">
        <v>-3561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-3561</v>
      </c>
    </row>
    <row r="825">
      <c r="A825" s="39" t="n">
        <v>46053</v>
      </c>
      <c r="B825" t="inlineStr">
        <is>
          <t>Jan 16-31, 2026</t>
        </is>
      </c>
      <c r="C825" t="inlineStr">
        <is>
          <t>Diversified</t>
        </is>
      </c>
      <c r="D825" t="n">
        <v>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</v>
      </c>
    </row>
    <row r="826">
      <c r="A826" s="39" t="n">
        <v>46053</v>
      </c>
      <c r="B826" t="inlineStr">
        <is>
          <t>Jan 16-31, 2026</t>
        </is>
      </c>
      <c r="C826" t="inlineStr">
        <is>
          <t>Fast Moving Consumer Goods</t>
        </is>
      </c>
      <c r="D826" t="n">
        <v>-1369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-1369</v>
      </c>
    </row>
    <row r="827">
      <c r="A827" s="39" t="n">
        <v>46053</v>
      </c>
      <c r="B827" t="inlineStr">
        <is>
          <t>Jan 16-31, 2026</t>
        </is>
      </c>
      <c r="C827" t="inlineStr">
        <is>
          <t>Financial Services</t>
        </is>
      </c>
      <c r="D827" t="n">
        <v>-5402</v>
      </c>
      <c r="E827" t="n">
        <v>-343</v>
      </c>
      <c r="F827" t="n">
        <v>320</v>
      </c>
      <c r="G827" t="n">
        <v>-292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90</v>
      </c>
      <c r="N827" t="n">
        <v>0</v>
      </c>
      <c r="O827" t="n">
        <v>-5627</v>
      </c>
    </row>
    <row r="828">
      <c r="A828" s="39" t="n">
        <v>46053</v>
      </c>
      <c r="B828" t="inlineStr">
        <is>
          <t>Jan 16-31, 2026</t>
        </is>
      </c>
      <c r="C828" t="inlineStr">
        <is>
          <t>Forest Materials</t>
        </is>
      </c>
      <c r="D828" t="n">
        <v>12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12</v>
      </c>
    </row>
    <row r="829">
      <c r="A829" s="39" t="n">
        <v>46053</v>
      </c>
      <c r="B829" t="inlineStr">
        <is>
          <t>Jan 16-31, 2026</t>
        </is>
      </c>
      <c r="C829" t="inlineStr">
        <is>
          <t>Healthcare</t>
        </is>
      </c>
      <c r="D829" t="n">
        <v>-5113</v>
      </c>
      <c r="E829" t="n">
        <v>1192</v>
      </c>
      <c r="F829" t="n">
        <v>521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-3400</v>
      </c>
    </row>
    <row r="830">
      <c r="A830" s="39" t="n">
        <v>46053</v>
      </c>
      <c r="B830" t="inlineStr">
        <is>
          <t>Jan 16-31, 2026</t>
        </is>
      </c>
      <c r="C830" t="inlineStr">
        <is>
          <t>Information Technology</t>
        </is>
      </c>
      <c r="D830" t="n">
        <v>240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240</v>
      </c>
    </row>
    <row r="831">
      <c r="A831" s="39" t="n">
        <v>46053</v>
      </c>
      <c r="B831" t="inlineStr">
        <is>
          <t>Jan 16-31, 2026</t>
        </is>
      </c>
      <c r="C831" t="inlineStr">
        <is>
          <t>Media, Entertainment &amp; Publication</t>
        </is>
      </c>
      <c r="D831" t="n">
        <v>-55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-55</v>
      </c>
    </row>
    <row r="832">
      <c r="A832" s="39" t="n">
        <v>46053</v>
      </c>
      <c r="B832" t="inlineStr">
        <is>
          <t>Jan 16-31, 2026</t>
        </is>
      </c>
      <c r="C832" t="inlineStr">
        <is>
          <t>Metals &amp; Mining</t>
        </is>
      </c>
      <c r="D832" t="n">
        <v>8837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8837</v>
      </c>
    </row>
    <row r="833">
      <c r="A833" s="39" t="n">
        <v>46053</v>
      </c>
      <c r="B833" t="inlineStr">
        <is>
          <t>Jan 16-31, 2026</t>
        </is>
      </c>
      <c r="C833" t="inlineStr">
        <is>
          <t>Oil, Gas &amp; Consumable Fuels</t>
        </is>
      </c>
      <c r="D833" t="n">
        <v>-391</v>
      </c>
      <c r="E833" t="n">
        <v>0</v>
      </c>
      <c r="F833" t="n">
        <v>0</v>
      </c>
      <c r="G833" t="n">
        <v>0</v>
      </c>
      <c r="H833" t="n">
        <v>-1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-392</v>
      </c>
    </row>
    <row r="834">
      <c r="A834" s="39" t="n">
        <v>46053</v>
      </c>
      <c r="B834" t="inlineStr">
        <is>
          <t>Jan 16-31, 2026</t>
        </is>
      </c>
      <c r="C834" t="inlineStr">
        <is>
          <t>Others</t>
        </is>
      </c>
      <c r="D834" t="n">
        <v>486</v>
      </c>
      <c r="E834" t="n">
        <v>610</v>
      </c>
      <c r="F834" t="n">
        <v>-1684</v>
      </c>
      <c r="G834" t="n">
        <v>124</v>
      </c>
      <c r="H834" t="n">
        <v>225</v>
      </c>
      <c r="I834" t="n">
        <v>240</v>
      </c>
      <c r="J834" t="n">
        <v>2</v>
      </c>
      <c r="K834" t="n">
        <v>-49</v>
      </c>
      <c r="L834" t="n">
        <v>0</v>
      </c>
      <c r="M834" t="n">
        <v>-34</v>
      </c>
      <c r="N834" t="n">
        <v>1</v>
      </c>
      <c r="O834" t="n">
        <v>-79</v>
      </c>
    </row>
    <row r="835">
      <c r="A835" s="39" t="n">
        <v>46053</v>
      </c>
      <c r="B835" t="inlineStr">
        <is>
          <t>Jan 16-31, 2026</t>
        </is>
      </c>
      <c r="C835" t="inlineStr">
        <is>
          <t>Power</t>
        </is>
      </c>
      <c r="D835" t="n">
        <v>-1527</v>
      </c>
      <c r="E835" t="n">
        <v>0</v>
      </c>
      <c r="F835" t="n">
        <v>0</v>
      </c>
      <c r="G835" t="n">
        <v>0</v>
      </c>
      <c r="H835" t="n">
        <v>-20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-1547</v>
      </c>
    </row>
    <row r="836">
      <c r="A836" s="39" t="n">
        <v>46053</v>
      </c>
      <c r="B836" t="inlineStr">
        <is>
          <t>Jan 16-31, 2026</t>
        </is>
      </c>
      <c r="C836" t="inlineStr">
        <is>
          <t>Realty</t>
        </is>
      </c>
      <c r="D836" t="n">
        <v>-1956</v>
      </c>
      <c r="E836" t="n">
        <v>-3</v>
      </c>
      <c r="F836" t="n">
        <v>0</v>
      </c>
      <c r="G836" t="n">
        <v>0</v>
      </c>
      <c r="H836" t="n">
        <v>-33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-1992</v>
      </c>
    </row>
    <row r="837">
      <c r="A837" s="39" t="n">
        <v>46053</v>
      </c>
      <c r="B837" t="inlineStr">
        <is>
          <t>Jan 16-31, 2026</t>
        </is>
      </c>
      <c r="C837" t="inlineStr">
        <is>
          <t>Services</t>
        </is>
      </c>
      <c r="D837" t="n">
        <v>-384</v>
      </c>
      <c r="E837" t="n">
        <v>0</v>
      </c>
      <c r="F837" t="n">
        <v>0</v>
      </c>
      <c r="G837" t="n">
        <v>0</v>
      </c>
      <c r="H837" t="n">
        <v>-10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-394</v>
      </c>
    </row>
    <row r="838">
      <c r="A838" s="39" t="n">
        <v>46053</v>
      </c>
      <c r="B838" t="inlineStr">
        <is>
          <t>Jan 16-31, 2026</t>
        </is>
      </c>
      <c r="C838" t="inlineStr">
        <is>
          <t>Sovereign</t>
        </is>
      </c>
      <c r="D838" t="n">
        <v>0</v>
      </c>
      <c r="E838" t="n">
        <v>-4412</v>
      </c>
      <c r="F838" t="n">
        <v>1116</v>
      </c>
      <c r="G838" t="n">
        <v>6753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3457</v>
      </c>
    </row>
    <row r="839">
      <c r="A839" s="39" t="n">
        <v>46053</v>
      </c>
      <c r="B839" t="inlineStr">
        <is>
          <t>Jan 16-31, 2026</t>
        </is>
      </c>
      <c r="C839" t="inlineStr">
        <is>
          <t>Telecommunication</t>
        </is>
      </c>
      <c r="D839" t="n">
        <v>-3280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-3280</v>
      </c>
    </row>
    <row r="840">
      <c r="A840" s="39" t="n">
        <v>46053</v>
      </c>
      <c r="B840" t="inlineStr">
        <is>
          <t>Jan 16-31, 2026</t>
        </is>
      </c>
      <c r="C840" t="inlineStr">
        <is>
          <t>Textiles</t>
        </is>
      </c>
      <c r="D840" t="n">
        <v>-99</v>
      </c>
      <c r="E840" t="n">
        <v>-29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-128</v>
      </c>
    </row>
    <row r="841">
      <c r="A841" s="39" t="n">
        <v>46053</v>
      </c>
      <c r="B841" t="inlineStr">
        <is>
          <t>Jan 16-31, 2026</t>
        </is>
      </c>
      <c r="C841" t="inlineStr">
        <is>
          <t>Utilities</t>
        </is>
      </c>
      <c r="D841" t="n">
        <v>24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24</v>
      </c>
    </row>
    <row r="842">
      <c r="A842" s="39" t="n">
        <v>46068</v>
      </c>
      <c r="B842" t="inlineStr">
        <is>
          <t>Feb 01-15, 2026</t>
        </is>
      </c>
      <c r="C842" t="inlineStr">
        <is>
          <t>Automobile and Auto Components</t>
        </is>
      </c>
      <c r="D842" t="n">
        <v>511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511</v>
      </c>
    </row>
    <row r="843">
      <c r="A843" s="39" t="n">
        <v>46068</v>
      </c>
      <c r="B843" t="inlineStr">
        <is>
          <t>Feb 01-15, 2026</t>
        </is>
      </c>
      <c r="C843" t="inlineStr">
        <is>
          <t>Capital Goods</t>
        </is>
      </c>
      <c r="D843" t="n">
        <v>8032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8032</v>
      </c>
    </row>
    <row r="844">
      <c r="A844" s="39" t="n">
        <v>46068</v>
      </c>
      <c r="B844" t="inlineStr">
        <is>
          <t>Feb 01-15, 2026</t>
        </is>
      </c>
      <c r="C844" t="inlineStr">
        <is>
          <t>Chemicals</t>
        </is>
      </c>
      <c r="D844" t="n">
        <v>642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642</v>
      </c>
    </row>
    <row r="845">
      <c r="A845" s="39" t="n">
        <v>46068</v>
      </c>
      <c r="B845" t="inlineStr">
        <is>
          <t>Feb 01-15, 2026</t>
        </is>
      </c>
      <c r="C845" t="inlineStr">
        <is>
          <t>Construction</t>
        </is>
      </c>
      <c r="D845" t="n">
        <v>1745</v>
      </c>
      <c r="E845" t="n">
        <v>75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1820</v>
      </c>
    </row>
    <row r="846">
      <c r="A846" s="39" t="n">
        <v>46068</v>
      </c>
      <c r="B846" t="inlineStr">
        <is>
          <t>Feb 01-15, 2026</t>
        </is>
      </c>
      <c r="C846" t="inlineStr">
        <is>
          <t>Construction Materials</t>
        </is>
      </c>
      <c r="D846" t="n">
        <v>378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378</v>
      </c>
    </row>
    <row r="847">
      <c r="A847" s="39" t="n">
        <v>46068</v>
      </c>
      <c r="B847" t="inlineStr">
        <is>
          <t>Feb 01-15, 2026</t>
        </is>
      </c>
      <c r="C847" t="inlineStr">
        <is>
          <t>Consumer Durables</t>
        </is>
      </c>
      <c r="D847" t="n">
        <v>-434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-434</v>
      </c>
    </row>
    <row r="848">
      <c r="A848" s="39" t="n">
        <v>46068</v>
      </c>
      <c r="B848" t="inlineStr">
        <is>
          <t>Feb 01-15, 2026</t>
        </is>
      </c>
      <c r="C848" t="inlineStr">
        <is>
          <t>Consumer Services</t>
        </is>
      </c>
      <c r="D848" t="n">
        <v>1066</v>
      </c>
      <c r="E848" t="n">
        <v>-10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1056</v>
      </c>
    </row>
    <row r="849">
      <c r="A849" s="39" t="n">
        <v>46068</v>
      </c>
      <c r="B849" t="inlineStr">
        <is>
          <t>Feb 01-15, 2026</t>
        </is>
      </c>
      <c r="C849" t="inlineStr">
        <is>
          <t>Diversified</t>
        </is>
      </c>
      <c r="D849" t="n">
        <v>-2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-2</v>
      </c>
    </row>
    <row r="850">
      <c r="A850" s="39" t="n">
        <v>46068</v>
      </c>
      <c r="B850" t="inlineStr">
        <is>
          <t>Feb 01-15, 2026</t>
        </is>
      </c>
      <c r="C850" t="inlineStr">
        <is>
          <t>Fast Moving Consumer Goods</t>
        </is>
      </c>
      <c r="D850" t="n">
        <v>-1182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-1182</v>
      </c>
    </row>
    <row r="851">
      <c r="A851" s="39" t="n">
        <v>46068</v>
      </c>
      <c r="B851" t="inlineStr">
        <is>
          <t>Feb 01-15, 2026</t>
        </is>
      </c>
      <c r="C851" t="inlineStr">
        <is>
          <t>Financial Services</t>
        </is>
      </c>
      <c r="D851" t="n">
        <v>6175</v>
      </c>
      <c r="E851" t="n">
        <v>456</v>
      </c>
      <c r="F851" t="n">
        <v>2558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172</v>
      </c>
      <c r="N851" t="n">
        <v>0</v>
      </c>
      <c r="O851" t="n">
        <v>9361</v>
      </c>
    </row>
    <row r="852">
      <c r="A852" s="39" t="n">
        <v>46068</v>
      </c>
      <c r="B852" t="inlineStr">
        <is>
          <t>Feb 01-15, 2026</t>
        </is>
      </c>
      <c r="C852" t="inlineStr">
        <is>
          <t>Forest Materials</t>
        </is>
      </c>
      <c r="D852" t="n">
        <v>30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30</v>
      </c>
    </row>
    <row r="853">
      <c r="A853" s="39" t="n">
        <v>46068</v>
      </c>
      <c r="B853" t="inlineStr">
        <is>
          <t>Feb 01-15, 2026</t>
        </is>
      </c>
      <c r="C853" t="inlineStr">
        <is>
          <t>Healthcare</t>
        </is>
      </c>
      <c r="D853" t="n">
        <v>-1051</v>
      </c>
      <c r="E853" t="n">
        <v>100</v>
      </c>
      <c r="F853" t="n">
        <v>-520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-1471</v>
      </c>
    </row>
    <row r="854">
      <c r="A854" s="39" t="n">
        <v>46068</v>
      </c>
      <c r="B854" t="inlineStr">
        <is>
          <t>Feb 01-15, 2026</t>
        </is>
      </c>
      <c r="C854" t="inlineStr">
        <is>
          <t>Information Technology</t>
        </is>
      </c>
      <c r="D854" t="n">
        <v>-10956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-10956</v>
      </c>
    </row>
    <row r="855">
      <c r="A855" s="39" t="n">
        <v>46068</v>
      </c>
      <c r="B855" t="inlineStr">
        <is>
          <t>Feb 01-15, 2026</t>
        </is>
      </c>
      <c r="C855" t="inlineStr">
        <is>
          <t>Media, Entertainment &amp; Publication</t>
        </is>
      </c>
      <c r="D855" t="n">
        <v>134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134</v>
      </c>
    </row>
    <row r="856">
      <c r="A856" s="39" t="n">
        <v>46068</v>
      </c>
      <c r="B856" t="inlineStr">
        <is>
          <t>Feb 01-15, 2026</t>
        </is>
      </c>
      <c r="C856" t="inlineStr">
        <is>
          <t>Metals &amp; Mining</t>
        </is>
      </c>
      <c r="D856" t="n">
        <v>3279</v>
      </c>
      <c r="E856" t="n">
        <v>0</v>
      </c>
      <c r="F856" t="n">
        <v>21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3300</v>
      </c>
    </row>
    <row r="857">
      <c r="A857" s="39" t="n">
        <v>46068</v>
      </c>
      <c r="B857" t="inlineStr">
        <is>
          <t>Feb 01-15, 2026</t>
        </is>
      </c>
      <c r="C857" t="inlineStr">
        <is>
          <t>Oil, Gas &amp; Consumable Fuels</t>
        </is>
      </c>
      <c r="D857" t="n">
        <v>4678</v>
      </c>
      <c r="E857" t="n">
        <v>0</v>
      </c>
      <c r="F857" t="n">
        <v>0</v>
      </c>
      <c r="G857" t="n">
        <v>0</v>
      </c>
      <c r="H857" t="n">
        <v>-3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4675</v>
      </c>
    </row>
    <row r="858">
      <c r="A858" s="39" t="n">
        <v>46068</v>
      </c>
      <c r="B858" t="inlineStr">
        <is>
          <t>Feb 01-15, 2026</t>
        </is>
      </c>
      <c r="C858" t="inlineStr">
        <is>
          <t>Others</t>
        </is>
      </c>
      <c r="D858" t="n">
        <v>1473</v>
      </c>
      <c r="E858" t="n">
        <v>1237</v>
      </c>
      <c r="F858" t="n">
        <v>1813</v>
      </c>
      <c r="G858" t="n">
        <v>0</v>
      </c>
      <c r="H858" t="n">
        <v>0</v>
      </c>
      <c r="I858" t="n">
        <v>174</v>
      </c>
      <c r="J858" t="n">
        <v>-59</v>
      </c>
      <c r="K858" t="n">
        <v>-100</v>
      </c>
      <c r="L858" t="n">
        <v>0</v>
      </c>
      <c r="M858" t="n">
        <v>-5</v>
      </c>
      <c r="N858" t="n">
        <v>0</v>
      </c>
      <c r="O858" t="n">
        <v>4533</v>
      </c>
    </row>
    <row r="859">
      <c r="A859" s="39" t="n">
        <v>46068</v>
      </c>
      <c r="B859" t="inlineStr">
        <is>
          <t>Feb 01-15, 2026</t>
        </is>
      </c>
      <c r="C859" t="inlineStr">
        <is>
          <t>Power</t>
        </is>
      </c>
      <c r="D859" t="n">
        <v>3272</v>
      </c>
      <c r="E859" t="n">
        <v>0</v>
      </c>
      <c r="F859" t="n">
        <v>0</v>
      </c>
      <c r="G859" t="n">
        <v>0</v>
      </c>
      <c r="H859" t="n">
        <v>-957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2315</v>
      </c>
    </row>
    <row r="860">
      <c r="A860" s="39" t="n">
        <v>46068</v>
      </c>
      <c r="B860" t="inlineStr">
        <is>
          <t>Feb 01-15, 2026</t>
        </is>
      </c>
      <c r="C860" t="inlineStr">
        <is>
          <t>Realty</t>
        </is>
      </c>
      <c r="D860" t="n">
        <v>786</v>
      </c>
      <c r="E860" t="n">
        <v>0</v>
      </c>
      <c r="F860" t="n">
        <v>-198</v>
      </c>
      <c r="G860" t="n">
        <v>0</v>
      </c>
      <c r="H860" t="n">
        <v>-111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477</v>
      </c>
    </row>
    <row r="861">
      <c r="A861" s="39" t="n">
        <v>46068</v>
      </c>
      <c r="B861" t="inlineStr">
        <is>
          <t>Feb 01-15, 2026</t>
        </is>
      </c>
      <c r="C861" t="inlineStr">
        <is>
          <t>Services</t>
        </is>
      </c>
      <c r="D861" t="n">
        <v>1286</v>
      </c>
      <c r="E861" t="n">
        <v>-30</v>
      </c>
      <c r="F861" t="n">
        <v>0</v>
      </c>
      <c r="G861" t="n">
        <v>0</v>
      </c>
      <c r="H861" t="n">
        <v>-8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1248</v>
      </c>
    </row>
    <row r="862">
      <c r="A862" s="39" t="n">
        <v>46068</v>
      </c>
      <c r="B862" t="inlineStr">
        <is>
          <t>Feb 01-15, 2026</t>
        </is>
      </c>
      <c r="C862" t="inlineStr">
        <is>
          <t>Sovereign</t>
        </is>
      </c>
      <c r="D862" t="n">
        <v>0</v>
      </c>
      <c r="E862" t="n">
        <v>-611</v>
      </c>
      <c r="F862" t="n">
        <v>492</v>
      </c>
      <c r="G862" t="n">
        <v>5547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5428</v>
      </c>
    </row>
    <row r="863">
      <c r="A863" s="39" t="n">
        <v>46068</v>
      </c>
      <c r="B863" t="inlineStr">
        <is>
          <t>Feb 01-15, 2026</t>
        </is>
      </c>
      <c r="C863" t="inlineStr">
        <is>
          <t>Telecommunication</t>
        </is>
      </c>
      <c r="D863" t="n">
        <v>-106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-106</v>
      </c>
    </row>
    <row r="864">
      <c r="A864" s="39" t="n">
        <v>46068</v>
      </c>
      <c r="B864" t="inlineStr">
        <is>
          <t>Feb 01-15, 2026</t>
        </is>
      </c>
      <c r="C864" t="inlineStr">
        <is>
          <t>Textiles</t>
        </is>
      </c>
      <c r="D864" t="n">
        <v>-67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-67</v>
      </c>
    </row>
    <row r="865">
      <c r="A865" s="39" t="n">
        <v>46068</v>
      </c>
      <c r="B865" t="inlineStr">
        <is>
          <t>Feb 01-15, 2026</t>
        </is>
      </c>
      <c r="C865" t="inlineStr">
        <is>
          <t>Utilities</t>
        </is>
      </c>
      <c r="D865" t="n">
        <v>-14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-14</v>
      </c>
    </row>
    <row r="866">
      <c r="A866" s="39" t="n">
        <v>46081</v>
      </c>
      <c r="B866" t="inlineStr">
        <is>
          <t>Feb 16-28, 2026</t>
        </is>
      </c>
      <c r="C866" t="inlineStr">
        <is>
          <t>Automobile and Auto Components</t>
        </is>
      </c>
      <c r="D866" t="n">
        <v>3075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3075</v>
      </c>
    </row>
    <row r="867">
      <c r="A867" s="39" t="n">
        <v>46081</v>
      </c>
      <c r="B867" t="inlineStr">
        <is>
          <t>Feb 16-28, 2026</t>
        </is>
      </c>
      <c r="C867" t="inlineStr">
        <is>
          <t>Capital Goods</t>
        </is>
      </c>
      <c r="D867" t="n">
        <v>4103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4103</v>
      </c>
    </row>
    <row r="868">
      <c r="A868" s="39" t="n">
        <v>46081</v>
      </c>
      <c r="B868" t="inlineStr">
        <is>
          <t>Feb 16-28, 2026</t>
        </is>
      </c>
      <c r="C868" t="inlineStr">
        <is>
          <t>Chemicals</t>
        </is>
      </c>
      <c r="D868" t="n">
        <v>-394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-394</v>
      </c>
    </row>
    <row r="869">
      <c r="A869" s="39" t="n">
        <v>46081</v>
      </c>
      <c r="B869" t="inlineStr">
        <is>
          <t>Feb 16-28, 2026</t>
        </is>
      </c>
      <c r="C869" t="inlineStr">
        <is>
          <t>Construction</t>
        </is>
      </c>
      <c r="D869" t="n">
        <v>2742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2742</v>
      </c>
    </row>
    <row r="870">
      <c r="A870" s="39" t="n">
        <v>46081</v>
      </c>
      <c r="B870" t="inlineStr">
        <is>
          <t>Feb 16-28, 2026</t>
        </is>
      </c>
      <c r="C870" t="inlineStr">
        <is>
          <t>Construction Materials</t>
        </is>
      </c>
      <c r="D870" t="n">
        <v>-57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-57</v>
      </c>
    </row>
    <row r="871">
      <c r="A871" s="39" t="n">
        <v>46081</v>
      </c>
      <c r="B871" t="inlineStr">
        <is>
          <t>Feb 16-28, 2026</t>
        </is>
      </c>
      <c r="C871" t="inlineStr">
        <is>
          <t>Consumer Durables</t>
        </is>
      </c>
      <c r="D871" t="n">
        <v>-322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-322</v>
      </c>
    </row>
    <row r="872">
      <c r="A872" s="39" t="n">
        <v>46081</v>
      </c>
      <c r="B872" t="inlineStr">
        <is>
          <t>Feb 16-28, 2026</t>
        </is>
      </c>
      <c r="C872" t="inlineStr">
        <is>
          <t>Consumer Services</t>
        </is>
      </c>
      <c r="D872" t="n">
        <v>-5238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-5238</v>
      </c>
    </row>
    <row r="873">
      <c r="A873" s="39" t="n">
        <v>46081</v>
      </c>
      <c r="B873" t="inlineStr">
        <is>
          <t>Feb 16-28, 2026</t>
        </is>
      </c>
      <c r="C873" t="inlineStr">
        <is>
          <t>Diversified</t>
        </is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s="39" t="n">
        <v>46081</v>
      </c>
      <c r="B874" t="inlineStr">
        <is>
          <t>Feb 16-28, 2026</t>
        </is>
      </c>
      <c r="C874" t="inlineStr">
        <is>
          <t>Fast Moving Consumer Goods</t>
        </is>
      </c>
      <c r="D874" t="n">
        <v>-769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-769</v>
      </c>
    </row>
    <row r="875">
      <c r="A875" s="39" t="n">
        <v>46081</v>
      </c>
      <c r="B875" t="inlineStr">
        <is>
          <t>Feb 16-28, 2026</t>
        </is>
      </c>
      <c r="C875" t="inlineStr">
        <is>
          <t>Financial Services</t>
        </is>
      </c>
      <c r="D875" t="n">
        <v>2243</v>
      </c>
      <c r="E875" t="n">
        <v>2273</v>
      </c>
      <c r="F875" t="n">
        <v>228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13</v>
      </c>
      <c r="N875" t="n">
        <v>0</v>
      </c>
      <c r="O875" t="n">
        <v>4757</v>
      </c>
    </row>
    <row r="876">
      <c r="A876" s="39" t="n">
        <v>46081</v>
      </c>
      <c r="B876" t="inlineStr">
        <is>
          <t>Feb 16-28, 2026</t>
        </is>
      </c>
      <c r="C876" t="inlineStr">
        <is>
          <t>Forest Materials</t>
        </is>
      </c>
      <c r="D876" t="n">
        <v>8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8</v>
      </c>
    </row>
    <row r="877">
      <c r="A877" s="39" t="n">
        <v>46081</v>
      </c>
      <c r="B877" t="inlineStr">
        <is>
          <t>Feb 16-28, 2026</t>
        </is>
      </c>
      <c r="C877" t="inlineStr">
        <is>
          <t>Healthcare</t>
        </is>
      </c>
      <c r="D877" t="n">
        <v>722</v>
      </c>
      <c r="E877" t="n">
        <v>50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772</v>
      </c>
    </row>
    <row r="878">
      <c r="A878" s="39" t="n">
        <v>46081</v>
      </c>
      <c r="B878" t="inlineStr">
        <is>
          <t>Feb 16-28, 2026</t>
        </is>
      </c>
      <c r="C878" t="inlineStr">
        <is>
          <t>Information Technology</t>
        </is>
      </c>
      <c r="D878" t="n">
        <v>-5993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-5993</v>
      </c>
    </row>
    <row r="879">
      <c r="A879" s="39" t="n">
        <v>46081</v>
      </c>
      <c r="B879" t="inlineStr">
        <is>
          <t>Feb 16-28, 2026</t>
        </is>
      </c>
      <c r="C879" t="inlineStr">
        <is>
          <t>Media, Entertainment &amp; Publication</t>
        </is>
      </c>
      <c r="D879" t="n">
        <v>-62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-62</v>
      </c>
    </row>
    <row r="880">
      <c r="A880" s="39" t="n">
        <v>46081</v>
      </c>
      <c r="B880" t="inlineStr">
        <is>
          <t>Feb 16-28, 2026</t>
        </is>
      </c>
      <c r="C880" t="inlineStr">
        <is>
          <t>Metals &amp; Mining</t>
        </is>
      </c>
      <c r="D880" t="n">
        <v>2359</v>
      </c>
      <c r="E880" t="n">
        <v>0</v>
      </c>
      <c r="F880" t="n">
        <v>-21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2338</v>
      </c>
    </row>
    <row r="881">
      <c r="A881" s="39" t="n">
        <v>46081</v>
      </c>
      <c r="B881" t="inlineStr">
        <is>
          <t>Feb 16-28, 2026</t>
        </is>
      </c>
      <c r="C881" t="inlineStr">
        <is>
          <t>Oil, Gas &amp; Consumable Fuels</t>
        </is>
      </c>
      <c r="D881" t="n">
        <v>703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703</v>
      </c>
    </row>
    <row r="882">
      <c r="A882" s="39" t="n">
        <v>46081</v>
      </c>
      <c r="B882" t="inlineStr">
        <is>
          <t>Feb 16-28, 2026</t>
        </is>
      </c>
      <c r="C882" t="inlineStr">
        <is>
          <t>Others</t>
        </is>
      </c>
      <c r="D882" t="n">
        <v>231</v>
      </c>
      <c r="E882" t="n">
        <v>1093</v>
      </c>
      <c r="F882" t="n">
        <v>340</v>
      </c>
      <c r="G882" t="n">
        <v>0</v>
      </c>
      <c r="H882" t="n">
        <v>0</v>
      </c>
      <c r="I882" t="n">
        <v>78</v>
      </c>
      <c r="J882" t="n">
        <v>73</v>
      </c>
      <c r="K882" t="n">
        <v>-51</v>
      </c>
      <c r="L882" t="n">
        <v>0</v>
      </c>
      <c r="M882" t="n">
        <v>0</v>
      </c>
      <c r="N882" t="n">
        <v>0</v>
      </c>
      <c r="O882" t="n">
        <v>1764</v>
      </c>
    </row>
    <row r="883">
      <c r="A883" s="39" t="n">
        <v>46081</v>
      </c>
      <c r="B883" t="inlineStr">
        <is>
          <t>Feb 16-28, 2026</t>
        </is>
      </c>
      <c r="C883" t="inlineStr">
        <is>
          <t>Power</t>
        </is>
      </c>
      <c r="D883" t="n">
        <v>1234</v>
      </c>
      <c r="E883" t="n">
        <v>0</v>
      </c>
      <c r="F883" t="n">
        <v>0</v>
      </c>
      <c r="G883" t="n">
        <v>0</v>
      </c>
      <c r="H883" t="n">
        <v>11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1245</v>
      </c>
    </row>
    <row r="884">
      <c r="A884" s="39" t="n">
        <v>46081</v>
      </c>
      <c r="B884" t="inlineStr">
        <is>
          <t>Feb 16-28, 2026</t>
        </is>
      </c>
      <c r="C884" t="inlineStr">
        <is>
          <t>Realty</t>
        </is>
      </c>
      <c r="D884" t="n">
        <v>-52</v>
      </c>
      <c r="E884" t="n">
        <v>0</v>
      </c>
      <c r="F884" t="n">
        <v>60</v>
      </c>
      <c r="G884" t="n">
        <v>0</v>
      </c>
      <c r="H884" t="n">
        <v>-2822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-2814</v>
      </c>
    </row>
    <row r="885">
      <c r="A885" s="39" t="n">
        <v>46081</v>
      </c>
      <c r="B885" t="inlineStr">
        <is>
          <t>Feb 16-28, 2026</t>
        </is>
      </c>
      <c r="C885" t="inlineStr">
        <is>
          <t>Services</t>
        </is>
      </c>
      <c r="D885" t="n">
        <v>205</v>
      </c>
      <c r="E885" t="n">
        <v>-272</v>
      </c>
      <c r="F885" t="n">
        <v>0</v>
      </c>
      <c r="G885" t="n">
        <v>0</v>
      </c>
      <c r="H885" t="n">
        <v>-7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-74</v>
      </c>
    </row>
    <row r="886">
      <c r="A886" s="39" t="n">
        <v>46081</v>
      </c>
      <c r="B886" t="inlineStr">
        <is>
          <t>Feb 16-28, 2026</t>
        </is>
      </c>
      <c r="C886" t="inlineStr">
        <is>
          <t>Sovereign</t>
        </is>
      </c>
      <c r="D886" t="n">
        <v>0</v>
      </c>
      <c r="E886" t="n">
        <v>1023</v>
      </c>
      <c r="F886" t="n">
        <v>0</v>
      </c>
      <c r="G886" t="n">
        <v>3092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4115</v>
      </c>
    </row>
    <row r="887">
      <c r="A887" s="39" t="n">
        <v>46081</v>
      </c>
      <c r="B887" t="inlineStr">
        <is>
          <t>Feb 16-28, 2026</t>
        </is>
      </c>
      <c r="C887" t="inlineStr">
        <is>
          <t>Telecommunication</t>
        </is>
      </c>
      <c r="D887" t="n">
        <v>-1775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-1775</v>
      </c>
    </row>
    <row r="888">
      <c r="A888" s="39" t="n">
        <v>46081</v>
      </c>
      <c r="B888" t="inlineStr">
        <is>
          <t>Feb 16-28, 2026</t>
        </is>
      </c>
      <c r="C888" t="inlineStr">
        <is>
          <t>Textiles</t>
        </is>
      </c>
      <c r="D888" t="n">
        <v>-33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-33</v>
      </c>
    </row>
    <row r="889">
      <c r="A889" s="39" t="n">
        <v>46081</v>
      </c>
      <c r="B889" t="inlineStr">
        <is>
          <t>Feb 16-28, 2026</t>
        </is>
      </c>
      <c r="C889" t="inlineStr">
        <is>
          <t>Utilities</t>
        </is>
      </c>
      <c r="D889" t="n">
        <v>8</v>
      </c>
      <c r="E889" t="n">
        <v>-6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</row>
    <row r="890">
      <c r="A890" s="39" t="n">
        <v>46096</v>
      </c>
      <c r="B890" t="inlineStr">
        <is>
          <t>Mar 01-15, 2026</t>
        </is>
      </c>
      <c r="C890" t="inlineStr">
        <is>
          <t>Automobile and Auto Components</t>
        </is>
      </c>
      <c r="D890" t="n">
        <v>-4807</v>
      </c>
      <c r="E890" t="n">
        <v>-133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-4940</v>
      </c>
    </row>
    <row r="891">
      <c r="A891" s="39" t="n">
        <v>46096</v>
      </c>
      <c r="B891" t="inlineStr">
        <is>
          <t>Mar 01-15, 2026</t>
        </is>
      </c>
      <c r="C891" t="inlineStr">
        <is>
          <t>Capital Goods</t>
        </is>
      </c>
      <c r="D891" t="n">
        <v>3897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3897</v>
      </c>
    </row>
    <row r="892">
      <c r="A892" s="39" t="n">
        <v>46096</v>
      </c>
      <c r="B892" t="inlineStr">
        <is>
          <t>Mar 01-15, 2026</t>
        </is>
      </c>
      <c r="C892" t="inlineStr">
        <is>
          <t>Chemicals</t>
        </is>
      </c>
      <c r="D892" t="n">
        <v>225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225</v>
      </c>
    </row>
    <row r="893">
      <c r="A893" s="39" t="n">
        <v>46096</v>
      </c>
      <c r="B893" t="inlineStr">
        <is>
          <t>Mar 01-15, 2026</t>
        </is>
      </c>
      <c r="C893" t="inlineStr">
        <is>
          <t>Construction</t>
        </is>
      </c>
      <c r="D893" t="n">
        <v>-2975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-2975</v>
      </c>
    </row>
    <row r="894">
      <c r="A894" s="39" t="n">
        <v>46096</v>
      </c>
      <c r="B894" t="inlineStr">
        <is>
          <t>Mar 01-15, 2026</t>
        </is>
      </c>
      <c r="C894" t="inlineStr">
        <is>
          <t>Construction Materials</t>
        </is>
      </c>
      <c r="D894" t="n">
        <v>-1492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-1492</v>
      </c>
    </row>
    <row r="895">
      <c r="A895" s="39" t="n">
        <v>46096</v>
      </c>
      <c r="B895" t="inlineStr">
        <is>
          <t>Mar 01-15, 2026</t>
        </is>
      </c>
      <c r="C895" t="inlineStr">
        <is>
          <t>Consumer Durables</t>
        </is>
      </c>
      <c r="D895" t="n">
        <v>-1727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-1727</v>
      </c>
    </row>
    <row r="896">
      <c r="A896" s="39" t="n">
        <v>46096</v>
      </c>
      <c r="B896" t="inlineStr">
        <is>
          <t>Mar 01-15, 2026</t>
        </is>
      </c>
      <c r="C896" t="inlineStr">
        <is>
          <t>Consumer Services</t>
        </is>
      </c>
      <c r="D896" t="n">
        <v>531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531</v>
      </c>
    </row>
    <row r="897">
      <c r="A897" s="39" t="n">
        <v>46096</v>
      </c>
      <c r="B897" t="inlineStr">
        <is>
          <t>Mar 01-15, 2026</t>
        </is>
      </c>
      <c r="C897" t="inlineStr">
        <is>
          <t>Diversified</t>
        </is>
      </c>
      <c r="D897" t="n">
        <v>0</v>
      </c>
      <c r="E897" t="n">
        <v>440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440</v>
      </c>
    </row>
    <row r="898">
      <c r="A898" s="39" t="n">
        <v>46096</v>
      </c>
      <c r="B898" t="inlineStr">
        <is>
          <t>Mar 01-15, 2026</t>
        </is>
      </c>
      <c r="C898" t="inlineStr">
        <is>
          <t>Fast Moving Consumer Goods</t>
        </is>
      </c>
      <c r="D898" t="n">
        <v>-2403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-2403</v>
      </c>
    </row>
    <row r="899">
      <c r="A899" s="39" t="n">
        <v>46096</v>
      </c>
      <c r="B899" t="inlineStr">
        <is>
          <t>Mar 01-15, 2026</t>
        </is>
      </c>
      <c r="C899" t="inlineStr">
        <is>
          <t>Financial Services</t>
        </is>
      </c>
      <c r="D899" t="n">
        <v>-31831</v>
      </c>
      <c r="E899" t="n">
        <v>-98</v>
      </c>
      <c r="F899" t="n">
        <v>-456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-319</v>
      </c>
      <c r="N899" t="n">
        <v>0</v>
      </c>
      <c r="O899" t="n">
        <v>-32704</v>
      </c>
    </row>
    <row r="900">
      <c r="A900" s="39" t="n">
        <v>46096</v>
      </c>
      <c r="B900" t="inlineStr">
        <is>
          <t>Mar 01-15, 2026</t>
        </is>
      </c>
      <c r="C900" t="inlineStr">
        <is>
          <t>Forest Materials</t>
        </is>
      </c>
      <c r="D900" t="n">
        <v>-4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-4</v>
      </c>
    </row>
    <row r="901">
      <c r="A901" s="39" t="n">
        <v>46096</v>
      </c>
      <c r="B901" t="inlineStr">
        <is>
          <t>Mar 01-15, 2026</t>
        </is>
      </c>
      <c r="C901" t="inlineStr">
        <is>
          <t>Healthcare</t>
        </is>
      </c>
      <c r="D901" t="n">
        <v>-2436</v>
      </c>
      <c r="E901" t="n">
        <v>280</v>
      </c>
      <c r="F901" t="n">
        <v>-200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-2356</v>
      </c>
    </row>
    <row r="902">
      <c r="A902" s="39" t="n">
        <v>46096</v>
      </c>
      <c r="B902" t="inlineStr">
        <is>
          <t>Mar 01-15, 2026</t>
        </is>
      </c>
      <c r="C902" t="inlineStr">
        <is>
          <t>Information Technology</t>
        </is>
      </c>
      <c r="D902" t="n">
        <v>-1263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-1263</v>
      </c>
    </row>
    <row r="903">
      <c r="A903" s="39" t="n">
        <v>46096</v>
      </c>
      <c r="B903" t="inlineStr">
        <is>
          <t>Mar 01-15, 2026</t>
        </is>
      </c>
      <c r="C903" t="inlineStr">
        <is>
          <t>Media, Entertainment &amp; Publication</t>
        </is>
      </c>
      <c r="D903" t="n">
        <v>-57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-57</v>
      </c>
    </row>
    <row r="904">
      <c r="A904" s="39" t="n">
        <v>46096</v>
      </c>
      <c r="B904" t="inlineStr">
        <is>
          <t>Mar 01-15, 2026</t>
        </is>
      </c>
      <c r="C904" t="inlineStr">
        <is>
          <t>Metals &amp; Mining</t>
        </is>
      </c>
      <c r="D904" t="n">
        <v>876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876</v>
      </c>
    </row>
    <row r="905">
      <c r="A905" s="39" t="n">
        <v>46096</v>
      </c>
      <c r="B905" t="inlineStr">
        <is>
          <t>Mar 01-15, 2026</t>
        </is>
      </c>
      <c r="C905" t="inlineStr">
        <is>
          <t>Oil, Gas &amp; Consumable Fuels</t>
        </is>
      </c>
      <c r="D905" t="n">
        <v>-2932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-2932</v>
      </c>
    </row>
    <row r="906">
      <c r="A906" s="39" t="n">
        <v>46096</v>
      </c>
      <c r="B906" t="inlineStr">
        <is>
          <t>Mar 01-15, 2026</t>
        </is>
      </c>
      <c r="C906" t="inlineStr">
        <is>
          <t>Others</t>
        </is>
      </c>
      <c r="D906" t="n">
        <v>548</v>
      </c>
      <c r="E906" t="n">
        <v>-488</v>
      </c>
      <c r="F906" t="n">
        <v>365</v>
      </c>
      <c r="G906" t="n">
        <v>0</v>
      </c>
      <c r="H906" t="n">
        <v>0</v>
      </c>
      <c r="I906" t="n">
        <v>72</v>
      </c>
      <c r="J906" t="n">
        <v>-186</v>
      </c>
      <c r="K906" t="n">
        <v>-98</v>
      </c>
      <c r="L906" t="n">
        <v>0</v>
      </c>
      <c r="M906" t="n">
        <v>-115</v>
      </c>
      <c r="N906" t="n">
        <v>0</v>
      </c>
      <c r="O906" t="n">
        <v>98</v>
      </c>
    </row>
    <row r="907">
      <c r="A907" s="39" t="n">
        <v>46096</v>
      </c>
      <c r="B907" t="inlineStr">
        <is>
          <t>Mar 01-15, 2026</t>
        </is>
      </c>
      <c r="C907" t="inlineStr">
        <is>
          <t>Power</t>
        </is>
      </c>
      <c r="D907" t="n">
        <v>602</v>
      </c>
      <c r="E907" t="n">
        <v>0</v>
      </c>
      <c r="F907" t="n">
        <v>0</v>
      </c>
      <c r="G907" t="n">
        <v>0</v>
      </c>
      <c r="H907" t="n">
        <v>-14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588</v>
      </c>
    </row>
    <row r="908">
      <c r="A908" s="39" t="n">
        <v>46096</v>
      </c>
      <c r="B908" t="inlineStr">
        <is>
          <t>Mar 01-15, 2026</t>
        </is>
      </c>
      <c r="C908" t="inlineStr">
        <is>
          <t>Realty</t>
        </is>
      </c>
      <c r="D908" t="n">
        <v>-2133</v>
      </c>
      <c r="E908" t="n">
        <v>0</v>
      </c>
      <c r="F908" t="n">
        <v>53</v>
      </c>
      <c r="G908" t="n">
        <v>0</v>
      </c>
      <c r="H908" t="n">
        <v>-538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-2618</v>
      </c>
    </row>
    <row r="909">
      <c r="A909" s="39" t="n">
        <v>46096</v>
      </c>
      <c r="B909" t="inlineStr">
        <is>
          <t>Mar 01-15, 2026</t>
        </is>
      </c>
      <c r="C909" t="inlineStr">
        <is>
          <t>Services</t>
        </is>
      </c>
      <c r="D909" t="n">
        <v>-1275</v>
      </c>
      <c r="E909" t="n">
        <v>0</v>
      </c>
      <c r="F909" t="n">
        <v>0</v>
      </c>
      <c r="G909" t="n">
        <v>0</v>
      </c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-1273</v>
      </c>
    </row>
    <row r="910">
      <c r="A910" s="39" t="n">
        <v>46096</v>
      </c>
      <c r="B910" t="inlineStr">
        <is>
          <t>Mar 01-15, 2026</t>
        </is>
      </c>
      <c r="C910" t="inlineStr">
        <is>
          <t>Sovereign</t>
        </is>
      </c>
      <c r="D910" t="n">
        <v>0</v>
      </c>
      <c r="E910" t="n">
        <v>-889</v>
      </c>
      <c r="F910" t="n">
        <v>-1682</v>
      </c>
      <c r="G910" t="n">
        <v>-3563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-6134</v>
      </c>
    </row>
    <row r="911">
      <c r="A911" s="39" t="n">
        <v>46096</v>
      </c>
      <c r="B911" t="inlineStr">
        <is>
          <t>Mar 01-15, 2026</t>
        </is>
      </c>
      <c r="C911" t="inlineStr">
        <is>
          <t>Telecommunication</t>
        </is>
      </c>
      <c r="D911" t="n">
        <v>-3856</v>
      </c>
      <c r="E911" t="n">
        <v>0</v>
      </c>
      <c r="F911" t="n">
        <v>0</v>
      </c>
      <c r="G911" t="n">
        <v>0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-3853</v>
      </c>
    </row>
    <row r="912">
      <c r="A912" s="39" t="n">
        <v>46096</v>
      </c>
      <c r="B912" t="inlineStr">
        <is>
          <t>Mar 01-15, 2026</t>
        </is>
      </c>
      <c r="C912" t="inlineStr">
        <is>
          <t>Textiles</t>
        </is>
      </c>
      <c r="D912" t="n">
        <v>-177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-177</v>
      </c>
    </row>
    <row r="913">
      <c r="A913" s="39" t="n">
        <v>46096</v>
      </c>
      <c r="B913" t="inlineStr">
        <is>
          <t>Mar 01-15, 2026</t>
        </is>
      </c>
      <c r="C913" t="inlineStr">
        <is>
          <t>Utilities</t>
        </is>
      </c>
      <c r="D913" t="n">
        <v>-14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-14</v>
      </c>
    </row>
    <row r="914">
      <c r="A914" s="39" t="n">
        <v>46112</v>
      </c>
      <c r="B914" t="inlineStr">
        <is>
          <t>Mar 16-31, 2026</t>
        </is>
      </c>
      <c r="C914" t="inlineStr">
        <is>
          <t>Automobile and Auto Components</t>
        </is>
      </c>
      <c r="D914" t="n">
        <v>-7691</v>
      </c>
      <c r="E914" t="n">
        <v>-66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-7757</v>
      </c>
    </row>
    <row r="915">
      <c r="A915" s="39" t="n">
        <v>46112</v>
      </c>
      <c r="B915" t="inlineStr">
        <is>
          <t>Mar 16-31, 2026</t>
        </is>
      </c>
      <c r="C915" t="inlineStr">
        <is>
          <t>Capital Goods</t>
        </is>
      </c>
      <c r="D915" t="n">
        <v>-749</v>
      </c>
      <c r="E915" t="n">
        <v>0</v>
      </c>
      <c r="F915" t="n">
        <v>-1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-750</v>
      </c>
    </row>
    <row r="916">
      <c r="A916" s="39" t="n">
        <v>46112</v>
      </c>
      <c r="B916" t="inlineStr">
        <is>
          <t>Mar 16-31, 2026</t>
        </is>
      </c>
      <c r="C916" t="inlineStr">
        <is>
          <t>Chemicals</t>
        </is>
      </c>
      <c r="D916" t="n">
        <v>-457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-457</v>
      </c>
    </row>
    <row r="917">
      <c r="A917" s="39" t="n">
        <v>46112</v>
      </c>
      <c r="B917" t="inlineStr">
        <is>
          <t>Mar 16-31, 2026</t>
        </is>
      </c>
      <c r="C917" t="inlineStr">
        <is>
          <t>Construction</t>
        </is>
      </c>
      <c r="D917" t="n">
        <v>-6179</v>
      </c>
      <c r="E917" t="n">
        <v>-73</v>
      </c>
      <c r="F917" t="n">
        <v>0</v>
      </c>
      <c r="G917" t="n">
        <v>0</v>
      </c>
      <c r="H917" t="n">
        <v>-2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-6254</v>
      </c>
    </row>
    <row r="918">
      <c r="A918" s="39" t="n">
        <v>46112</v>
      </c>
      <c r="B918" t="inlineStr">
        <is>
          <t>Mar 16-31, 2026</t>
        </is>
      </c>
      <c r="C918" t="inlineStr">
        <is>
          <t>Construction Materials</t>
        </is>
      </c>
      <c r="D918" t="n">
        <v>-1652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-1652</v>
      </c>
    </row>
    <row r="919">
      <c r="A919" s="39" t="n">
        <v>46112</v>
      </c>
      <c r="B919" t="inlineStr">
        <is>
          <t>Mar 16-31, 2026</t>
        </is>
      </c>
      <c r="C919" t="inlineStr">
        <is>
          <t>Consumer Durables</t>
        </is>
      </c>
      <c r="D919" t="n">
        <v>-1175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-1175</v>
      </c>
    </row>
    <row r="920">
      <c r="A920" s="39" t="n">
        <v>46112</v>
      </c>
      <c r="B920" t="inlineStr">
        <is>
          <t>Mar 16-31, 2026</t>
        </is>
      </c>
      <c r="C920" t="inlineStr">
        <is>
          <t>Consumer Services</t>
        </is>
      </c>
      <c r="D920" t="n">
        <v>-2672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-2672</v>
      </c>
    </row>
    <row r="921">
      <c r="A921" s="39" t="n">
        <v>46112</v>
      </c>
      <c r="B921" t="inlineStr">
        <is>
          <t>Mar 16-31, 2026</t>
        </is>
      </c>
      <c r="C921" t="inlineStr">
        <is>
          <t>Diversified</t>
        </is>
      </c>
      <c r="D921" t="n">
        <v>-21</v>
      </c>
      <c r="E921" t="n">
        <v>-12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-33</v>
      </c>
    </row>
    <row r="922">
      <c r="A922" s="39" t="n">
        <v>46112</v>
      </c>
      <c r="B922" t="inlineStr">
        <is>
          <t>Mar 16-31, 2026</t>
        </is>
      </c>
      <c r="C922" t="inlineStr">
        <is>
          <t>Fast Moving Consumer Goods</t>
        </is>
      </c>
      <c r="D922" t="n">
        <v>-3016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-3016</v>
      </c>
    </row>
    <row r="923">
      <c r="A923" s="39" t="n">
        <v>46112</v>
      </c>
      <c r="B923" t="inlineStr">
        <is>
          <t>Mar 16-31, 2026</t>
        </is>
      </c>
      <c r="C923" t="inlineStr">
        <is>
          <t>Financial Services</t>
        </is>
      </c>
      <c r="D923" t="n">
        <v>-28824</v>
      </c>
      <c r="E923" t="n">
        <v>179</v>
      </c>
      <c r="F923" t="n">
        <v>-248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-94</v>
      </c>
      <c r="N923" t="n">
        <v>0</v>
      </c>
      <c r="O923" t="n">
        <v>-28987</v>
      </c>
    </row>
    <row r="924">
      <c r="A924" s="39" t="n">
        <v>46112</v>
      </c>
      <c r="B924" t="inlineStr">
        <is>
          <t>Mar 16-31, 2026</t>
        </is>
      </c>
      <c r="C924" t="inlineStr">
        <is>
          <t>Forest Materials</t>
        </is>
      </c>
      <c r="D924" t="n">
        <v>-13</v>
      </c>
      <c r="E924" t="n">
        <v>-33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-46</v>
      </c>
    </row>
    <row r="925">
      <c r="A925" s="39" t="n">
        <v>46112</v>
      </c>
      <c r="B925" t="inlineStr">
        <is>
          <t>Mar 16-31, 2026</t>
        </is>
      </c>
      <c r="C925" t="inlineStr">
        <is>
          <t>Healthcare</t>
        </is>
      </c>
      <c r="D925" t="n">
        <v>-2202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-2202</v>
      </c>
    </row>
    <row r="926">
      <c r="A926" s="39" t="n">
        <v>46112</v>
      </c>
      <c r="B926" t="inlineStr">
        <is>
          <t>Mar 16-31, 2026</t>
        </is>
      </c>
      <c r="C926" t="inlineStr">
        <is>
          <t>Information Technology</t>
        </is>
      </c>
      <c r="D926" t="n">
        <v>-611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-611</v>
      </c>
    </row>
    <row r="927">
      <c r="A927" s="39" t="n">
        <v>46112</v>
      </c>
      <c r="B927" t="inlineStr">
        <is>
          <t>Mar 16-31, 2026</t>
        </is>
      </c>
      <c r="C927" t="inlineStr">
        <is>
          <t>Media, Entertainment &amp; Publication</t>
        </is>
      </c>
      <c r="D927" t="n">
        <v>40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40</v>
      </c>
    </row>
    <row r="928">
      <c r="A928" s="39" t="n">
        <v>46112</v>
      </c>
      <c r="B928" t="inlineStr">
        <is>
          <t>Mar 16-31, 2026</t>
        </is>
      </c>
      <c r="C928" t="inlineStr">
        <is>
          <t>Metals &amp; Mining</t>
        </is>
      </c>
      <c r="D928" t="n">
        <v>-4041</v>
      </c>
      <c r="E928" t="n">
        <v>500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-3541</v>
      </c>
    </row>
    <row r="929">
      <c r="A929" s="39" t="n">
        <v>46112</v>
      </c>
      <c r="B929" t="inlineStr">
        <is>
          <t>Mar 16-31, 2026</t>
        </is>
      </c>
      <c r="C929" t="inlineStr">
        <is>
          <t>Oil, Gas &amp; Consumable Fuels</t>
        </is>
      </c>
      <c r="D929" t="n">
        <v>-1197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-1197</v>
      </c>
    </row>
    <row r="930">
      <c r="A930" s="39" t="n">
        <v>46112</v>
      </c>
      <c r="B930" t="inlineStr">
        <is>
          <t>Mar 16-31, 2026</t>
        </is>
      </c>
      <c r="C930" t="inlineStr">
        <is>
          <t>Others</t>
        </is>
      </c>
      <c r="D930" t="n">
        <v>1967</v>
      </c>
      <c r="E930" t="n">
        <v>7159</v>
      </c>
      <c r="F930" t="n">
        <v>35</v>
      </c>
      <c r="G930" t="n">
        <v>0</v>
      </c>
      <c r="H930" t="n">
        <v>2359</v>
      </c>
      <c r="I930" t="n">
        <v>-179</v>
      </c>
      <c r="J930" t="n">
        <v>-149</v>
      </c>
      <c r="K930" t="n">
        <v>-49</v>
      </c>
      <c r="L930" t="n">
        <v>0</v>
      </c>
      <c r="M930" t="n">
        <v>-244</v>
      </c>
      <c r="N930" t="n">
        <v>0</v>
      </c>
      <c r="O930" t="n">
        <v>10899</v>
      </c>
    </row>
    <row r="931">
      <c r="A931" s="39" t="n">
        <v>46112</v>
      </c>
      <c r="B931" t="inlineStr">
        <is>
          <t>Mar 16-31, 2026</t>
        </is>
      </c>
      <c r="C931" t="inlineStr">
        <is>
          <t>Power</t>
        </is>
      </c>
      <c r="D931" t="n">
        <v>-832</v>
      </c>
      <c r="E931" t="n">
        <v>-24</v>
      </c>
      <c r="F931" t="n">
        <v>0</v>
      </c>
      <c r="G931" t="n">
        <v>0</v>
      </c>
      <c r="H931" t="n">
        <v>38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-818</v>
      </c>
    </row>
    <row r="932">
      <c r="A932" s="39" t="n">
        <v>46112</v>
      </c>
      <c r="B932" t="inlineStr">
        <is>
          <t>Mar 16-31, 2026</t>
        </is>
      </c>
      <c r="C932" t="inlineStr">
        <is>
          <t>Realty</t>
        </is>
      </c>
      <c r="D932" t="n">
        <v>-2560</v>
      </c>
      <c r="E932" t="n">
        <v>-25</v>
      </c>
      <c r="F932" t="n">
        <v>0</v>
      </c>
      <c r="G932" t="n">
        <v>0</v>
      </c>
      <c r="H932" t="n">
        <v>-1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-2586</v>
      </c>
    </row>
    <row r="933">
      <c r="A933" s="39" t="n">
        <v>46112</v>
      </c>
      <c r="B933" t="inlineStr">
        <is>
          <t>Mar 16-31, 2026</t>
        </is>
      </c>
      <c r="C933" t="inlineStr">
        <is>
          <t>Services</t>
        </is>
      </c>
      <c r="D933" t="n">
        <v>-1300</v>
      </c>
      <c r="E933" t="n">
        <v>0</v>
      </c>
      <c r="F933" t="n">
        <v>0</v>
      </c>
      <c r="G933" t="n">
        <v>0</v>
      </c>
      <c r="H933" t="n">
        <v>21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-1279</v>
      </c>
    </row>
    <row r="934">
      <c r="A934" s="39" t="n">
        <v>46112</v>
      </c>
      <c r="B934" t="inlineStr">
        <is>
          <t>Mar 16-31, 2026</t>
        </is>
      </c>
      <c r="C934" t="inlineStr">
        <is>
          <t>Sovereign</t>
        </is>
      </c>
      <c r="D934" t="n">
        <v>0</v>
      </c>
      <c r="E934" t="n">
        <v>-411</v>
      </c>
      <c r="F934" t="n">
        <v>-1094</v>
      </c>
      <c r="G934" t="n">
        <v>-7982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-9487</v>
      </c>
    </row>
    <row r="935">
      <c r="A935" s="39" t="n">
        <v>46112</v>
      </c>
      <c r="B935" t="inlineStr">
        <is>
          <t>Mar 16-31, 2026</t>
        </is>
      </c>
      <c r="C935" t="inlineStr">
        <is>
          <t>Telecommunication</t>
        </is>
      </c>
      <c r="D935" t="n">
        <v>-1747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-1747</v>
      </c>
    </row>
    <row r="936">
      <c r="A936" s="39" t="n">
        <v>46112</v>
      </c>
      <c r="B936" t="inlineStr">
        <is>
          <t>Mar 16-31, 2026</t>
        </is>
      </c>
      <c r="C936" t="inlineStr">
        <is>
          <t>Textiles</t>
        </is>
      </c>
      <c r="D936" t="n">
        <v>-142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-142</v>
      </c>
    </row>
    <row r="937">
      <c r="A937" s="39" t="n">
        <v>46112</v>
      </c>
      <c r="B937" t="inlineStr">
        <is>
          <t>Mar 16-31, 2026</t>
        </is>
      </c>
      <c r="C937" t="inlineStr">
        <is>
          <t>Utilities</t>
        </is>
      </c>
      <c r="D937" t="n">
        <v>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</v>
      </c>
    </row>
    <row r="938">
      <c r="A938" s="39" t="n">
        <v>46127</v>
      </c>
      <c r="B938" t="inlineStr">
        <is>
          <t>Apr 01-15, 2026</t>
        </is>
      </c>
      <c r="C938" t="inlineStr">
        <is>
          <t>Automobile and Auto Components</t>
        </is>
      </c>
      <c r="D938" t="n">
        <v>-3704</v>
      </c>
      <c r="E938" t="n">
        <v>-15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-3719</v>
      </c>
    </row>
    <row r="939">
      <c r="A939" s="39" t="n">
        <v>46127</v>
      </c>
      <c r="B939" t="inlineStr">
        <is>
          <t>Apr 01-15, 2026</t>
        </is>
      </c>
      <c r="C939" t="inlineStr">
        <is>
          <t>Capital Goods</t>
        </is>
      </c>
      <c r="D939" t="n">
        <v>-328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-328</v>
      </c>
    </row>
    <row r="940">
      <c r="A940" s="39" t="n">
        <v>46127</v>
      </c>
      <c r="B940" t="inlineStr">
        <is>
          <t>Apr 01-15, 2026</t>
        </is>
      </c>
      <c r="C940" t="inlineStr">
        <is>
          <t>Chemicals</t>
        </is>
      </c>
      <c r="D940" t="n">
        <v>-266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-266</v>
      </c>
    </row>
    <row r="941">
      <c r="A941" s="39" t="n">
        <v>46127</v>
      </c>
      <c r="B941" t="inlineStr">
        <is>
          <t>Apr 01-15, 2026</t>
        </is>
      </c>
      <c r="C941" t="inlineStr">
        <is>
          <t>Construction</t>
        </is>
      </c>
      <c r="D941" t="n">
        <v>-1273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-1273</v>
      </c>
    </row>
    <row r="942">
      <c r="A942" s="39" t="n">
        <v>46127</v>
      </c>
      <c r="B942" t="inlineStr">
        <is>
          <t>Apr 01-15, 2026</t>
        </is>
      </c>
      <c r="C942" t="inlineStr">
        <is>
          <t>Construction Materials</t>
        </is>
      </c>
      <c r="D942" t="n">
        <v>-601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-601</v>
      </c>
    </row>
    <row r="943">
      <c r="A943" s="39" t="n">
        <v>46127</v>
      </c>
      <c r="B943" t="inlineStr">
        <is>
          <t>Apr 01-15, 2026</t>
        </is>
      </c>
      <c r="C943" t="inlineStr">
        <is>
          <t>Consumer Durables</t>
        </is>
      </c>
      <c r="D943" t="n">
        <v>-361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-361</v>
      </c>
    </row>
    <row r="944">
      <c r="A944" s="39" t="n">
        <v>46127</v>
      </c>
      <c r="B944" t="inlineStr">
        <is>
          <t>Apr 01-15, 2026</t>
        </is>
      </c>
      <c r="C944" t="inlineStr">
        <is>
          <t>Consumer Services</t>
        </is>
      </c>
      <c r="D944" t="n">
        <v>-5336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-5336</v>
      </c>
    </row>
    <row r="945">
      <c r="A945" s="39" t="n">
        <v>46127</v>
      </c>
      <c r="B945" t="inlineStr">
        <is>
          <t>Apr 01-15, 2026</t>
        </is>
      </c>
      <c r="C945" t="inlineStr">
        <is>
          <t>Diversified</t>
        </is>
      </c>
      <c r="D945" t="n">
        <v>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5</v>
      </c>
    </row>
    <row r="946">
      <c r="A946" s="39" t="n">
        <v>46127</v>
      </c>
      <c r="B946" t="inlineStr">
        <is>
          <t>Apr 01-15, 2026</t>
        </is>
      </c>
      <c r="C946" t="inlineStr">
        <is>
          <t>Fast Moving Consumer Goods</t>
        </is>
      </c>
      <c r="D946" t="n">
        <v>-2976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-2976</v>
      </c>
    </row>
    <row r="947">
      <c r="A947" s="39" t="n">
        <v>46127</v>
      </c>
      <c r="B947" t="inlineStr">
        <is>
          <t>Apr 01-15, 2026</t>
        </is>
      </c>
      <c r="C947" t="inlineStr">
        <is>
          <t>Financial Services</t>
        </is>
      </c>
      <c r="D947" t="n">
        <v>-19152</v>
      </c>
      <c r="E947" t="n">
        <v>-3373</v>
      </c>
      <c r="F947" t="n">
        <v>-2272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-3</v>
      </c>
      <c r="N947" t="n">
        <v>0</v>
      </c>
      <c r="O947" t="n">
        <v>-24800</v>
      </c>
    </row>
    <row r="948">
      <c r="A948" s="39" t="n">
        <v>46127</v>
      </c>
      <c r="B948" t="inlineStr">
        <is>
          <t>Apr 01-15, 2026</t>
        </is>
      </c>
      <c r="C948" t="inlineStr">
        <is>
          <t>Forest Materials</t>
        </is>
      </c>
      <c r="D948" t="n">
        <v>-19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-19</v>
      </c>
    </row>
    <row r="949">
      <c r="A949" s="39" t="n">
        <v>46127</v>
      </c>
      <c r="B949" t="inlineStr">
        <is>
          <t>Apr 01-15, 2026</t>
        </is>
      </c>
      <c r="C949" t="inlineStr">
        <is>
          <t>Healthcare</t>
        </is>
      </c>
      <c r="D949" t="n">
        <v>-4481</v>
      </c>
      <c r="E949" t="n">
        <v>-173</v>
      </c>
      <c r="F949" t="n">
        <v>-124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-4778</v>
      </c>
    </row>
    <row r="950">
      <c r="A950" s="39" t="n">
        <v>46127</v>
      </c>
      <c r="B950" t="inlineStr">
        <is>
          <t>Apr 01-15, 2026</t>
        </is>
      </c>
      <c r="C950" t="inlineStr">
        <is>
          <t>Information Technology</t>
        </is>
      </c>
      <c r="D950" t="n">
        <v>-1325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-1325</v>
      </c>
    </row>
    <row r="951">
      <c r="A951" s="39" t="n">
        <v>46127</v>
      </c>
      <c r="B951" t="inlineStr">
        <is>
          <t>Apr 01-15, 2026</t>
        </is>
      </c>
      <c r="C951" t="inlineStr">
        <is>
          <t>Media, Entertainment &amp; Publication</t>
        </is>
      </c>
      <c r="D951" t="n">
        <v>-59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-59</v>
      </c>
    </row>
    <row r="952">
      <c r="A952" s="39" t="n">
        <v>46127</v>
      </c>
      <c r="B952" t="inlineStr">
        <is>
          <t>Apr 01-15, 2026</t>
        </is>
      </c>
      <c r="C952" t="inlineStr">
        <is>
          <t>Metals &amp; Mining</t>
        </is>
      </c>
      <c r="D952" t="n">
        <v>-1198</v>
      </c>
      <c r="E952" t="n">
        <v>80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-1118</v>
      </c>
    </row>
    <row r="953">
      <c r="A953" s="39" t="n">
        <v>46127</v>
      </c>
      <c r="B953" t="inlineStr">
        <is>
          <t>Apr 01-15, 2026</t>
        </is>
      </c>
      <c r="C953" t="inlineStr">
        <is>
          <t>Oil, Gas &amp; Consumable Fuels</t>
        </is>
      </c>
      <c r="D953" t="n">
        <v>-3352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-3352</v>
      </c>
    </row>
    <row r="954">
      <c r="A954" s="39" t="n">
        <v>46127</v>
      </c>
      <c r="B954" t="inlineStr">
        <is>
          <t>Apr 01-15, 2026</t>
        </is>
      </c>
      <c r="C954" t="inlineStr">
        <is>
          <t>Others</t>
        </is>
      </c>
      <c r="D954" t="n">
        <v>730</v>
      </c>
      <c r="E954" t="n">
        <v>-1546</v>
      </c>
      <c r="F954" t="n">
        <v>220</v>
      </c>
      <c r="G954" t="n">
        <v>3</v>
      </c>
      <c r="H954" t="n">
        <v>4</v>
      </c>
      <c r="I954" t="n">
        <v>188</v>
      </c>
      <c r="J954" t="n">
        <v>26</v>
      </c>
      <c r="K954" t="n">
        <v>-1</v>
      </c>
      <c r="L954" t="n">
        <v>0</v>
      </c>
      <c r="M954" t="n">
        <v>17</v>
      </c>
      <c r="N954" t="n">
        <v>0</v>
      </c>
      <c r="O954" t="n">
        <v>-359</v>
      </c>
    </row>
    <row r="955">
      <c r="A955" s="39" t="n">
        <v>46127</v>
      </c>
      <c r="B955" t="inlineStr">
        <is>
          <t>Apr 01-15, 2026</t>
        </is>
      </c>
      <c r="C955" t="inlineStr">
        <is>
          <t>Power</t>
        </is>
      </c>
      <c r="D955" t="n">
        <v>601</v>
      </c>
      <c r="E955" t="n">
        <v>-215</v>
      </c>
      <c r="F955" t="n">
        <v>-225</v>
      </c>
      <c r="G955" t="n">
        <v>0</v>
      </c>
      <c r="H955" t="n">
        <v>-5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156</v>
      </c>
    </row>
    <row r="956">
      <c r="A956" s="39" t="n">
        <v>46127</v>
      </c>
      <c r="B956" t="inlineStr">
        <is>
          <t>Apr 01-15, 2026</t>
        </is>
      </c>
      <c r="C956" t="inlineStr">
        <is>
          <t>Realty</t>
        </is>
      </c>
      <c r="D956" t="n">
        <v>-1917</v>
      </c>
      <c r="E956" t="n">
        <v>0</v>
      </c>
      <c r="F956" t="n">
        <v>0</v>
      </c>
      <c r="G956" t="n">
        <v>0</v>
      </c>
      <c r="H956" t="n">
        <v>11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-1906</v>
      </c>
    </row>
    <row r="957">
      <c r="A957" s="39" t="n">
        <v>46127</v>
      </c>
      <c r="B957" t="inlineStr">
        <is>
          <t>Apr 01-15, 2026</t>
        </is>
      </c>
      <c r="C957" t="inlineStr">
        <is>
          <t>Services</t>
        </is>
      </c>
      <c r="D957" t="n">
        <v>-591</v>
      </c>
      <c r="E957" t="n">
        <v>0</v>
      </c>
      <c r="F957" t="n">
        <v>0</v>
      </c>
      <c r="G957" t="n">
        <v>0</v>
      </c>
      <c r="H957" t="n">
        <v>-20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-611</v>
      </c>
    </row>
    <row r="958">
      <c r="A958" s="39" t="n">
        <v>46127</v>
      </c>
      <c r="B958" t="inlineStr">
        <is>
          <t>Apr 01-15, 2026</t>
        </is>
      </c>
      <c r="C958" t="inlineStr">
        <is>
          <t>Sovereign</t>
        </is>
      </c>
      <c r="D958" t="n">
        <v>0</v>
      </c>
      <c r="E958" t="n">
        <v>-700</v>
      </c>
      <c r="F958" t="n">
        <v>-127</v>
      </c>
      <c r="G958" t="n">
        <v>-7113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-7940</v>
      </c>
    </row>
    <row r="959">
      <c r="A959" s="39" t="n">
        <v>46127</v>
      </c>
      <c r="B959" t="inlineStr">
        <is>
          <t>Apr 01-15, 2026</t>
        </is>
      </c>
      <c r="C959" t="inlineStr">
        <is>
          <t>Telecommunication</t>
        </is>
      </c>
      <c r="D959" t="n">
        <v>-2492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-2492</v>
      </c>
    </row>
    <row r="960">
      <c r="A960" s="39" t="n">
        <v>46127</v>
      </c>
      <c r="B960" t="inlineStr">
        <is>
          <t>Apr 01-15, 2026</t>
        </is>
      </c>
      <c r="C960" t="inlineStr">
        <is>
          <t>Textiles</t>
        </is>
      </c>
      <c r="D960" t="n">
        <v>-50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-50</v>
      </c>
    </row>
    <row r="961">
      <c r="A961" s="39" t="n">
        <v>46127</v>
      </c>
      <c r="B961" t="inlineStr">
        <is>
          <t>Apr 01-15, 2026</t>
        </is>
      </c>
      <c r="C961" t="inlineStr">
        <is>
          <t>Utilities</t>
        </is>
      </c>
      <c r="D961" t="n">
        <v>4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4</v>
      </c>
    </row>
    <row r="962">
      <c r="A962" s="39" t="n">
        <v>46142</v>
      </c>
      <c r="B962" t="inlineStr">
        <is>
          <t>Apr 16-30, 2026</t>
        </is>
      </c>
      <c r="C962" t="inlineStr">
        <is>
          <t>Automobile and Auto Components</t>
        </is>
      </c>
      <c r="D962" t="n">
        <v>-1775</v>
      </c>
      <c r="E962" t="n">
        <v>-29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-1804</v>
      </c>
    </row>
    <row r="963">
      <c r="A963" s="39" t="n">
        <v>46142</v>
      </c>
      <c r="B963" t="inlineStr">
        <is>
          <t>Apr 16-30, 2026</t>
        </is>
      </c>
      <c r="C963" t="inlineStr">
        <is>
          <t>Capital Goods</t>
        </is>
      </c>
      <c r="D963" t="n">
        <v>4667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4667</v>
      </c>
    </row>
    <row r="964">
      <c r="A964" s="39" t="n">
        <v>46142</v>
      </c>
      <c r="B964" t="inlineStr">
        <is>
          <t>Apr 16-30, 2026</t>
        </is>
      </c>
      <c r="C964" t="inlineStr">
        <is>
          <t>Chemicals</t>
        </is>
      </c>
      <c r="D964" t="n">
        <v>-121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-121</v>
      </c>
    </row>
    <row r="965">
      <c r="A965" s="39" t="n">
        <v>46142</v>
      </c>
      <c r="B965" t="inlineStr">
        <is>
          <t>Apr 16-30, 2026</t>
        </is>
      </c>
      <c r="C965" t="inlineStr">
        <is>
          <t>Construction</t>
        </is>
      </c>
      <c r="D965" t="n">
        <v>2199</v>
      </c>
      <c r="E965" t="n">
        <v>0</v>
      </c>
      <c r="F965" t="n">
        <v>0</v>
      </c>
      <c r="G965" t="n">
        <v>0</v>
      </c>
      <c r="H965" t="n">
        <v>-1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2198</v>
      </c>
    </row>
    <row r="966">
      <c r="A966" s="39" t="n">
        <v>46142</v>
      </c>
      <c r="B966" t="inlineStr">
        <is>
          <t>Apr 16-30, 2026</t>
        </is>
      </c>
      <c r="C966" t="inlineStr">
        <is>
          <t>Construction Materials</t>
        </is>
      </c>
      <c r="D966" t="n">
        <v>-670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-670</v>
      </c>
    </row>
    <row r="967">
      <c r="A967" s="39" t="n">
        <v>46142</v>
      </c>
      <c r="B967" t="inlineStr">
        <is>
          <t>Apr 16-30, 2026</t>
        </is>
      </c>
      <c r="C967" t="inlineStr">
        <is>
          <t>Consumer Durables</t>
        </is>
      </c>
      <c r="D967" t="n">
        <v>441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441</v>
      </c>
    </row>
    <row r="968">
      <c r="A968" s="39" t="n">
        <v>46142</v>
      </c>
      <c r="B968" t="inlineStr">
        <is>
          <t>Apr 16-30, 2026</t>
        </is>
      </c>
      <c r="C968" t="inlineStr">
        <is>
          <t>Consumer Services</t>
        </is>
      </c>
      <c r="D968" t="n">
        <v>-2434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-2434</v>
      </c>
    </row>
    <row r="969">
      <c r="A969" s="39" t="n">
        <v>46142</v>
      </c>
      <c r="B969" t="inlineStr">
        <is>
          <t>Apr 16-30, 2026</t>
        </is>
      </c>
      <c r="C969" t="inlineStr">
        <is>
          <t>Diversified</t>
        </is>
      </c>
      <c r="D969" t="n">
        <v>3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3</v>
      </c>
    </row>
    <row r="970">
      <c r="A970" s="39" t="n">
        <v>46142</v>
      </c>
      <c r="B970" t="inlineStr">
        <is>
          <t>Apr 16-30, 2026</t>
        </is>
      </c>
      <c r="C970" t="inlineStr">
        <is>
          <t>Fast Moving Consumer Goods</t>
        </is>
      </c>
      <c r="D970" t="n">
        <v>-229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-229</v>
      </c>
    </row>
    <row r="971">
      <c r="A971" s="39" t="n">
        <v>46142</v>
      </c>
      <c r="B971" t="inlineStr">
        <is>
          <t>Apr 16-30, 2026</t>
        </is>
      </c>
      <c r="C971" t="inlineStr">
        <is>
          <t>Financial Services</t>
        </is>
      </c>
      <c r="D971" t="n">
        <v>-11704</v>
      </c>
      <c r="E971" t="n">
        <v>-1068</v>
      </c>
      <c r="F971" t="n">
        <v>-1004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-22</v>
      </c>
      <c r="N971" t="n">
        <v>0</v>
      </c>
      <c r="O971" t="n">
        <v>-13798</v>
      </c>
    </row>
    <row r="972">
      <c r="A972" s="39" t="n">
        <v>46142</v>
      </c>
      <c r="B972" t="inlineStr">
        <is>
          <t>Apr 16-30, 2026</t>
        </is>
      </c>
      <c r="C972" t="inlineStr">
        <is>
          <t>Forest Materials</t>
        </is>
      </c>
      <c r="D972" t="n">
        <v>73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73</v>
      </c>
    </row>
    <row r="973">
      <c r="A973" s="39" t="n">
        <v>46142</v>
      </c>
      <c r="B973" t="inlineStr">
        <is>
          <t>Apr 16-30, 2026</t>
        </is>
      </c>
      <c r="C973" t="inlineStr">
        <is>
          <t>Healthcare</t>
        </is>
      </c>
      <c r="D973" t="n">
        <v>-2445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-2445</v>
      </c>
    </row>
    <row r="974">
      <c r="A974" s="39" t="n">
        <v>46142</v>
      </c>
      <c r="B974" t="inlineStr">
        <is>
          <t>Apr 16-30, 2026</t>
        </is>
      </c>
      <c r="C974" t="inlineStr">
        <is>
          <t>Information Technology</t>
        </is>
      </c>
      <c r="D974" t="n">
        <v>-2887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-2887</v>
      </c>
    </row>
    <row r="975">
      <c r="A975" s="39" t="n">
        <v>46142</v>
      </c>
      <c r="B975" t="inlineStr">
        <is>
          <t>Apr 16-30, 2026</t>
        </is>
      </c>
      <c r="C975" t="inlineStr">
        <is>
          <t>Media, Entertainment &amp; Publication</t>
        </is>
      </c>
      <c r="D975" t="n">
        <v>-149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-149</v>
      </c>
    </row>
    <row r="976">
      <c r="A976" s="39" t="n">
        <v>46142</v>
      </c>
      <c r="B976" t="inlineStr">
        <is>
          <t>Apr 16-30, 2026</t>
        </is>
      </c>
      <c r="C976" t="inlineStr">
        <is>
          <t>Metals &amp; Mining</t>
        </is>
      </c>
      <c r="D976" t="n">
        <v>2416</v>
      </c>
      <c r="E976" t="n">
        <v>-330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2086</v>
      </c>
    </row>
    <row r="977">
      <c r="A977" s="39" t="n">
        <v>46142</v>
      </c>
      <c r="B977" t="inlineStr">
        <is>
          <t>Apr 16-30, 2026</t>
        </is>
      </c>
      <c r="C977" t="inlineStr">
        <is>
          <t>Oil, Gas &amp; Consumable Fuels</t>
        </is>
      </c>
      <c r="D977" t="n">
        <v>-3351</v>
      </c>
      <c r="E977" t="n">
        <v>0</v>
      </c>
      <c r="F977" t="n">
        <v>0</v>
      </c>
      <c r="G977" t="n">
        <v>0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-3349</v>
      </c>
    </row>
    <row r="978">
      <c r="A978" s="39" t="n">
        <v>46142</v>
      </c>
      <c r="B978" t="inlineStr">
        <is>
          <t>Apr 16-30, 2026</t>
        </is>
      </c>
      <c r="C978" t="inlineStr">
        <is>
          <t>Others</t>
        </is>
      </c>
      <c r="D978" t="n">
        <v>837</v>
      </c>
      <c r="E978" t="n">
        <v>-853</v>
      </c>
      <c r="F978" t="n">
        <v>538</v>
      </c>
      <c r="G978" t="n">
        <v>0</v>
      </c>
      <c r="H978" t="n">
        <v>460</v>
      </c>
      <c r="I978" t="n">
        <v>57</v>
      </c>
      <c r="J978" t="n">
        <v>169</v>
      </c>
      <c r="K978" t="n">
        <v>-56</v>
      </c>
      <c r="L978" t="n">
        <v>0</v>
      </c>
      <c r="M978" t="n">
        <v>-32</v>
      </c>
      <c r="N978" t="n">
        <v>1</v>
      </c>
      <c r="O978" t="n">
        <v>1121</v>
      </c>
    </row>
    <row r="979">
      <c r="A979" s="39" t="n">
        <v>46142</v>
      </c>
      <c r="B979" t="inlineStr">
        <is>
          <t>Apr 16-30, 2026</t>
        </is>
      </c>
      <c r="C979" t="inlineStr">
        <is>
          <t>Power</t>
        </is>
      </c>
      <c r="D979" t="n">
        <v>4956</v>
      </c>
      <c r="E979" t="n">
        <v>-20</v>
      </c>
      <c r="F979" t="n">
        <v>0</v>
      </c>
      <c r="G979" t="n">
        <v>0</v>
      </c>
      <c r="H979" t="n">
        <v>-1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4935</v>
      </c>
    </row>
    <row r="980">
      <c r="A980" s="39" t="n">
        <v>46142</v>
      </c>
      <c r="B980" t="inlineStr">
        <is>
          <t>Apr 16-30, 2026</t>
        </is>
      </c>
      <c r="C980" t="inlineStr">
        <is>
          <t>Realty</t>
        </is>
      </c>
      <c r="D980" t="n">
        <v>-206</v>
      </c>
      <c r="E980" t="n">
        <v>0</v>
      </c>
      <c r="F980" t="n">
        <v>-124</v>
      </c>
      <c r="G980" t="n">
        <v>0</v>
      </c>
      <c r="H980" t="n">
        <v>-96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-426</v>
      </c>
    </row>
    <row r="981">
      <c r="A981" s="39" t="n">
        <v>46142</v>
      </c>
      <c r="B981" t="inlineStr">
        <is>
          <t>Apr 16-30, 2026</t>
        </is>
      </c>
      <c r="C981" t="inlineStr">
        <is>
          <t>Services</t>
        </is>
      </c>
      <c r="D981" t="n">
        <v>-362</v>
      </c>
      <c r="E981" t="n">
        <v>43</v>
      </c>
      <c r="F981" t="n">
        <v>0</v>
      </c>
      <c r="G981" t="n">
        <v>0</v>
      </c>
      <c r="H981" t="n">
        <v>90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-229</v>
      </c>
    </row>
    <row r="982">
      <c r="A982" s="39" t="n">
        <v>46142</v>
      </c>
      <c r="B982" t="inlineStr">
        <is>
          <t>Apr 16-30, 2026</t>
        </is>
      </c>
      <c r="C982" t="inlineStr">
        <is>
          <t>Sovereign</t>
        </is>
      </c>
      <c r="D982" t="n">
        <v>0</v>
      </c>
      <c r="E982" t="n">
        <v>527</v>
      </c>
      <c r="F982" t="n">
        <v>110</v>
      </c>
      <c r="G982" t="n">
        <v>6964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7601</v>
      </c>
    </row>
    <row r="983">
      <c r="A983" s="39" t="n">
        <v>46142</v>
      </c>
      <c r="B983" t="inlineStr">
        <is>
          <t>Apr 16-30, 2026</t>
        </is>
      </c>
      <c r="C983" t="inlineStr">
        <is>
          <t>Telecommunication</t>
        </is>
      </c>
      <c r="D983" t="n">
        <v>-1908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-1908</v>
      </c>
    </row>
    <row r="984">
      <c r="A984" s="39" t="n">
        <v>46142</v>
      </c>
      <c r="B984" t="inlineStr">
        <is>
          <t>Apr 16-30, 2026</t>
        </is>
      </c>
      <c r="C984" t="inlineStr">
        <is>
          <t>Textiles</t>
        </is>
      </c>
      <c r="D984" t="n">
        <v>-48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-48</v>
      </c>
    </row>
    <row r="985">
      <c r="A985" s="39" t="n">
        <v>46142</v>
      </c>
      <c r="B985" t="inlineStr">
        <is>
          <t>Apr 16-30, 2026</t>
        </is>
      </c>
      <c r="C985" t="inlineStr">
        <is>
          <t>Utilities</t>
        </is>
      </c>
      <c r="D985" t="n">
        <v>-12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-12</v>
      </c>
    </row>
    <row r="986">
      <c r="A986" s="39" t="n">
        <v>46157</v>
      </c>
      <c r="B986" t="inlineStr">
        <is>
          <t>May 01-15, 2026</t>
        </is>
      </c>
      <c r="C986" t="inlineStr">
        <is>
          <t>Automobile and Auto Components</t>
        </is>
      </c>
      <c r="D986" t="n">
        <v>-357</v>
      </c>
      <c r="E986" t="n">
        <v>-6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-363</v>
      </c>
    </row>
    <row r="987">
      <c r="A987" s="39" t="n">
        <v>46157</v>
      </c>
      <c r="B987" t="inlineStr">
        <is>
          <t>May 01-15, 2026</t>
        </is>
      </c>
      <c r="C987" t="inlineStr">
        <is>
          <t>Capital Goods</t>
        </is>
      </c>
      <c r="D987" t="n">
        <v>2645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2645</v>
      </c>
    </row>
    <row r="988">
      <c r="A988" s="39" t="n">
        <v>46157</v>
      </c>
      <c r="B988" t="inlineStr">
        <is>
          <t>May 01-15, 2026</t>
        </is>
      </c>
      <c r="C988" t="inlineStr">
        <is>
          <t>Chemicals</t>
        </is>
      </c>
      <c r="D988" t="n">
        <v>-700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-700</v>
      </c>
    </row>
    <row r="989">
      <c r="A989" s="39" t="n">
        <v>46157</v>
      </c>
      <c r="B989" t="inlineStr">
        <is>
          <t>May 01-15, 2026</t>
        </is>
      </c>
      <c r="C989" t="inlineStr">
        <is>
          <t>Construction</t>
        </is>
      </c>
      <c r="D989" t="n">
        <v>-991</v>
      </c>
      <c r="E989" t="n">
        <v>0</v>
      </c>
      <c r="F989" t="n">
        <v>0</v>
      </c>
      <c r="G989" t="n">
        <v>0</v>
      </c>
      <c r="H989" t="n">
        <v>-1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-992</v>
      </c>
    </row>
    <row r="990">
      <c r="A990" s="39" t="n">
        <v>46157</v>
      </c>
      <c r="B990" t="inlineStr">
        <is>
          <t>May 01-15, 2026</t>
        </is>
      </c>
      <c r="C990" t="inlineStr">
        <is>
          <t>Construction Materials</t>
        </is>
      </c>
      <c r="D990" t="n">
        <v>-1207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-1207</v>
      </c>
    </row>
    <row r="991">
      <c r="A991" s="39" t="n">
        <v>46157</v>
      </c>
      <c r="B991" t="inlineStr">
        <is>
          <t>May 01-15, 2026</t>
        </is>
      </c>
      <c r="C991" t="inlineStr">
        <is>
          <t>Consumer Durables</t>
        </is>
      </c>
      <c r="D991" t="n">
        <v>-1162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-1162</v>
      </c>
    </row>
    <row r="992">
      <c r="A992" s="39" t="n">
        <v>46157</v>
      </c>
      <c r="B992" t="inlineStr">
        <is>
          <t>May 01-15, 2026</t>
        </is>
      </c>
      <c r="C992" t="inlineStr">
        <is>
          <t>Consumer Services</t>
        </is>
      </c>
      <c r="D992" t="n">
        <v>-365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-365</v>
      </c>
    </row>
    <row r="993">
      <c r="A993" s="39" t="n">
        <v>46157</v>
      </c>
      <c r="B993" t="inlineStr">
        <is>
          <t>May 01-15, 2026</t>
        </is>
      </c>
      <c r="C993" t="inlineStr">
        <is>
          <t>Diversified</t>
        </is>
      </c>
      <c r="D993" t="n">
        <v>33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33</v>
      </c>
    </row>
    <row r="994">
      <c r="A994" s="39" t="n">
        <v>46157</v>
      </c>
      <c r="B994" t="inlineStr">
        <is>
          <t>May 01-15, 2026</t>
        </is>
      </c>
      <c r="C994" t="inlineStr">
        <is>
          <t>Fast Moving Consumer Goods</t>
        </is>
      </c>
      <c r="D994" t="n">
        <v>-1625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-1625</v>
      </c>
    </row>
    <row r="995">
      <c r="A995" s="39" t="n">
        <v>46157</v>
      </c>
      <c r="B995" t="inlineStr">
        <is>
          <t>May 01-15, 2026</t>
        </is>
      </c>
      <c r="C995" t="inlineStr">
        <is>
          <t>Financial Services</t>
        </is>
      </c>
      <c r="D995" t="n">
        <v>-17960</v>
      </c>
      <c r="E995" t="n">
        <v>-411</v>
      </c>
      <c r="F995" t="n">
        <v>340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-5</v>
      </c>
      <c r="N995" t="n">
        <v>0</v>
      </c>
      <c r="O995" t="n">
        <v>-18036</v>
      </c>
    </row>
    <row r="996">
      <c r="A996" s="39" t="n">
        <v>46157</v>
      </c>
      <c r="B996" t="inlineStr">
        <is>
          <t>May 01-15, 2026</t>
        </is>
      </c>
      <c r="C996" t="inlineStr">
        <is>
          <t>Forest Materials</t>
        </is>
      </c>
      <c r="D996" t="n">
        <v>-41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-41</v>
      </c>
    </row>
    <row r="997">
      <c r="A997" s="39" t="n">
        <v>46157</v>
      </c>
      <c r="B997" t="inlineStr">
        <is>
          <t>May 01-15, 2026</t>
        </is>
      </c>
      <c r="C997" t="inlineStr">
        <is>
          <t>Healthcare</t>
        </is>
      </c>
      <c r="D997" t="n">
        <v>-418</v>
      </c>
      <c r="E997" t="n">
        <v>-99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-517</v>
      </c>
    </row>
    <row r="998">
      <c r="A998" s="39" t="n">
        <v>46157</v>
      </c>
      <c r="B998" t="inlineStr">
        <is>
          <t>May 01-15, 2026</t>
        </is>
      </c>
      <c r="C998" t="inlineStr">
        <is>
          <t>Information Technology</t>
        </is>
      </c>
      <c r="D998" t="n">
        <v>-1643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-1643</v>
      </c>
    </row>
    <row r="999">
      <c r="A999" s="39" t="n">
        <v>46157</v>
      </c>
      <c r="B999" t="inlineStr">
        <is>
          <t>May 01-15, 2026</t>
        </is>
      </c>
      <c r="C999" t="inlineStr">
        <is>
          <t>Media, Entertainment &amp; Publication</t>
        </is>
      </c>
      <c r="D999" t="n">
        <v>-12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-12</v>
      </c>
    </row>
    <row r="1000">
      <c r="A1000" s="39" t="n">
        <v>46157</v>
      </c>
      <c r="B1000" t="inlineStr">
        <is>
          <t>May 01-15, 2026</t>
        </is>
      </c>
      <c r="C1000" t="inlineStr">
        <is>
          <t>Metals &amp; Mining</t>
        </is>
      </c>
      <c r="D1000" t="n">
        <v>1698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1698</v>
      </c>
    </row>
    <row r="1001">
      <c r="A1001" s="39" t="n">
        <v>46157</v>
      </c>
      <c r="B1001" t="inlineStr">
        <is>
          <t>May 01-15, 2026</t>
        </is>
      </c>
      <c r="C1001" t="inlineStr">
        <is>
          <t>Oil, Gas &amp; Consumable Fuels</t>
        </is>
      </c>
      <c r="D1001" t="n">
        <v>-6885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-6884</v>
      </c>
    </row>
    <row r="1002">
      <c r="A1002" s="39" t="n">
        <v>46157</v>
      </c>
      <c r="B1002" t="inlineStr">
        <is>
          <t>May 01-15, 2026</t>
        </is>
      </c>
      <c r="C1002" t="inlineStr">
        <is>
          <t>Others</t>
        </is>
      </c>
      <c r="D1002" t="n">
        <v>-808</v>
      </c>
      <c r="E1002" t="n">
        <v>494</v>
      </c>
      <c r="F1002" t="n">
        <v>-575</v>
      </c>
      <c r="G1002" t="n">
        <v>3</v>
      </c>
      <c r="H1002" t="n">
        <v>0</v>
      </c>
      <c r="I1002" t="n">
        <v>125</v>
      </c>
      <c r="J1002" t="n">
        <v>-24</v>
      </c>
      <c r="K1002" t="n">
        <v>48</v>
      </c>
      <c r="L1002" t="n">
        <v>0</v>
      </c>
      <c r="M1002" t="n">
        <v>-10</v>
      </c>
      <c r="N1002" t="n">
        <v>0</v>
      </c>
      <c r="O1002" t="n">
        <v>-747</v>
      </c>
    </row>
    <row r="1003">
      <c r="A1003" s="39" t="n">
        <v>46157</v>
      </c>
      <c r="B1003" t="inlineStr">
        <is>
          <t>May 01-15, 2026</t>
        </is>
      </c>
      <c r="C1003" t="inlineStr">
        <is>
          <t>Power</t>
        </is>
      </c>
      <c r="D1003" t="n">
        <v>-1157</v>
      </c>
      <c r="E1003" t="n">
        <v>49</v>
      </c>
      <c r="F1003" t="n">
        <v>0</v>
      </c>
      <c r="G1003" t="n">
        <v>0</v>
      </c>
      <c r="H1003" t="n">
        <v>-1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-1109</v>
      </c>
    </row>
    <row r="1004">
      <c r="A1004" s="39" t="n">
        <v>46157</v>
      </c>
      <c r="B1004" t="inlineStr">
        <is>
          <t>May 01-15, 2026</t>
        </is>
      </c>
      <c r="C1004" t="inlineStr">
        <is>
          <t>Realty</t>
        </is>
      </c>
      <c r="D1004" t="n">
        <v>-430</v>
      </c>
      <c r="E1004" t="n">
        <v>-73</v>
      </c>
      <c r="F1004" t="n">
        <v>-221</v>
      </c>
      <c r="G1004" t="n">
        <v>0</v>
      </c>
      <c r="H1004" t="n">
        <v>965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241</v>
      </c>
    </row>
    <row r="1005">
      <c r="A1005" s="39" t="n">
        <v>46157</v>
      </c>
      <c r="B1005" t="inlineStr">
        <is>
          <t>May 01-15, 2026</t>
        </is>
      </c>
      <c r="C1005" t="inlineStr">
        <is>
          <t>Services</t>
        </is>
      </c>
      <c r="D1005" t="n">
        <v>7019</v>
      </c>
      <c r="E1005" t="n">
        <v>0</v>
      </c>
      <c r="F1005" t="n">
        <v>0</v>
      </c>
      <c r="G1005" t="n">
        <v>0</v>
      </c>
      <c r="H1005" t="n">
        <v>-33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6986</v>
      </c>
    </row>
    <row r="1006">
      <c r="A1006" s="39" t="n">
        <v>46157</v>
      </c>
      <c r="B1006" t="inlineStr">
        <is>
          <t>May 01-15, 2026</t>
        </is>
      </c>
      <c r="C1006" t="inlineStr">
        <is>
          <t>Sovereign</t>
        </is>
      </c>
      <c r="D1006" t="n">
        <v>0</v>
      </c>
      <c r="E1006" t="n">
        <v>-11</v>
      </c>
      <c r="F1006" t="n">
        <v>0</v>
      </c>
      <c r="G1006" t="n">
        <v>2940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2929</v>
      </c>
    </row>
    <row r="1007">
      <c r="A1007" s="39" t="n">
        <v>46157</v>
      </c>
      <c r="B1007" t="inlineStr">
        <is>
          <t>May 01-15, 2026</t>
        </is>
      </c>
      <c r="C1007" t="inlineStr">
        <is>
          <t>Telecommunication</t>
        </is>
      </c>
      <c r="D1007" t="n">
        <v>-2542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-2542</v>
      </c>
    </row>
    <row r="1008">
      <c r="A1008" s="39" t="n">
        <v>46157</v>
      </c>
      <c r="B1008" t="inlineStr">
        <is>
          <t>May 01-15, 2026</t>
        </is>
      </c>
      <c r="C1008" t="inlineStr">
        <is>
          <t>Textiles</t>
        </is>
      </c>
      <c r="D1008" t="n">
        <v>-112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-112</v>
      </c>
    </row>
    <row r="1009">
      <c r="A1009" s="39" t="n">
        <v>46157</v>
      </c>
      <c r="B1009" t="inlineStr">
        <is>
          <t>May 01-15, 2026</t>
        </is>
      </c>
      <c r="C1009" t="inlineStr">
        <is>
          <t>Utilities</t>
        </is>
      </c>
      <c r="D1009" t="n">
        <v>-28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-28</v>
      </c>
    </row>
    <row r="1010">
      <c r="A1010" s="39" t="n">
        <v>45488</v>
      </c>
      <c r="B1010" t="inlineStr">
        <is>
          <t>Jul 01-15, 2024</t>
        </is>
      </c>
      <c r="C1010" t="inlineStr">
        <is>
          <t>Capital Goods</t>
        </is>
      </c>
      <c r="D1010" t="n">
        <v>3612</v>
      </c>
      <c r="E1010" t="n">
        <v>0</v>
      </c>
      <c r="F1010" t="n">
        <v>0</v>
      </c>
      <c r="H1010" t="n">
        <v>0</v>
      </c>
      <c r="O1010" t="n">
        <v>3612</v>
      </c>
    </row>
    <row r="1011">
      <c r="A1011" s="39" t="n">
        <v>45488</v>
      </c>
      <c r="B1011" t="inlineStr">
        <is>
          <t>Jul 01-15, 2024</t>
        </is>
      </c>
      <c r="C1011" t="inlineStr">
        <is>
          <t>Chemicals</t>
        </is>
      </c>
      <c r="D1011" t="n">
        <v>-118</v>
      </c>
      <c r="E1011" t="n">
        <v>0</v>
      </c>
      <c r="F1011" t="n">
        <v>0</v>
      </c>
      <c r="H1011" t="n">
        <v>0</v>
      </c>
      <c r="O1011" t="n">
        <v>-118</v>
      </c>
    </row>
    <row r="1012">
      <c r="A1012" s="39" t="n">
        <v>45488</v>
      </c>
      <c r="B1012" t="inlineStr">
        <is>
          <t>Jul 01-15, 2024</t>
        </is>
      </c>
      <c r="C1012" t="inlineStr">
        <is>
          <t>Construction</t>
        </is>
      </c>
      <c r="D1012" t="n">
        <v>-902</v>
      </c>
      <c r="E1012" t="n">
        <v>0</v>
      </c>
      <c r="F1012" t="n">
        <v>0</v>
      </c>
      <c r="H1012" t="n">
        <v>0</v>
      </c>
      <c r="O1012" t="n">
        <v>-902</v>
      </c>
    </row>
    <row r="1013">
      <c r="A1013" s="39" t="n">
        <v>45488</v>
      </c>
      <c r="B1013" t="inlineStr">
        <is>
          <t>Jul 01-15, 2024</t>
        </is>
      </c>
      <c r="C1013" t="inlineStr">
        <is>
          <t>Construction Materials</t>
        </is>
      </c>
      <c r="D1013" t="n">
        <v>194</v>
      </c>
      <c r="E1013" t="n">
        <v>0</v>
      </c>
      <c r="F1013" t="n">
        <v>0</v>
      </c>
      <c r="H1013" t="n">
        <v>0</v>
      </c>
      <c r="O1013" t="n">
        <v>194</v>
      </c>
    </row>
    <row r="1014">
      <c r="A1014" s="39" t="n">
        <v>45488</v>
      </c>
      <c r="B1014" t="inlineStr">
        <is>
          <t>Jul 01-15, 2024</t>
        </is>
      </c>
      <c r="C1014" t="inlineStr">
        <is>
          <t>Consumer Durables</t>
        </is>
      </c>
      <c r="D1014" t="n">
        <v>125</v>
      </c>
      <c r="E1014" t="n">
        <v>0</v>
      </c>
      <c r="F1014" t="n">
        <v>0</v>
      </c>
      <c r="H1014" t="n">
        <v>0</v>
      </c>
      <c r="O1014" t="n">
        <v>125</v>
      </c>
    </row>
    <row r="1015">
      <c r="A1015" s="39" t="n">
        <v>45488</v>
      </c>
      <c r="B1015" t="inlineStr">
        <is>
          <t>Jul 01-15, 2024</t>
        </is>
      </c>
      <c r="C1015" t="inlineStr">
        <is>
          <t>Consumer Services</t>
        </is>
      </c>
      <c r="D1015" t="n">
        <v>1642</v>
      </c>
      <c r="E1015" t="n">
        <v>0</v>
      </c>
      <c r="F1015" t="n">
        <v>0</v>
      </c>
      <c r="H1015" t="n">
        <v>0</v>
      </c>
      <c r="O1015" t="n">
        <v>1642</v>
      </c>
    </row>
    <row r="1016">
      <c r="A1016" s="39" t="n">
        <v>45488</v>
      </c>
      <c r="B1016" t="inlineStr">
        <is>
          <t>Jul 01-15, 2024</t>
        </is>
      </c>
      <c r="C1016" t="inlineStr">
        <is>
          <t>Diversified</t>
        </is>
      </c>
      <c r="D1016" t="n">
        <v>316</v>
      </c>
      <c r="E1016" t="n">
        <v>50</v>
      </c>
      <c r="F1016" t="n">
        <v>0</v>
      </c>
      <c r="H1016" t="n">
        <v>0</v>
      </c>
      <c r="O1016" t="n">
        <v>366</v>
      </c>
    </row>
    <row r="1017">
      <c r="A1017" s="39" t="n">
        <v>45488</v>
      </c>
      <c r="B1017" t="inlineStr">
        <is>
          <t>Jul 01-15, 2024</t>
        </is>
      </c>
      <c r="C1017" t="inlineStr">
        <is>
          <t>Fast Moving Consumer Goods</t>
        </is>
      </c>
      <c r="D1017" t="n">
        <v>1809</v>
      </c>
      <c r="E1017" t="n">
        <v>0</v>
      </c>
      <c r="F1017" t="n">
        <v>0</v>
      </c>
      <c r="H1017" t="n">
        <v>0</v>
      </c>
      <c r="O1017" t="n">
        <v>1809</v>
      </c>
    </row>
    <row r="1018">
      <c r="A1018" s="39" t="n">
        <v>45488</v>
      </c>
      <c r="B1018" t="inlineStr">
        <is>
          <t>Jul 01-15, 2024</t>
        </is>
      </c>
      <c r="C1018" t="inlineStr">
        <is>
          <t>Financial Services</t>
        </is>
      </c>
      <c r="D1018" t="n">
        <v>471</v>
      </c>
      <c r="E1018" t="n">
        <v>1101</v>
      </c>
      <c r="F1018" t="n">
        <v>247</v>
      </c>
      <c r="H1018" t="n">
        <v>0</v>
      </c>
      <c r="O1018" t="n">
        <v>1820</v>
      </c>
    </row>
    <row r="1019">
      <c r="A1019" s="39" t="n">
        <v>45488</v>
      </c>
      <c r="B1019" t="inlineStr">
        <is>
          <t>Jul 01-15, 2024</t>
        </is>
      </c>
      <c r="C1019" t="inlineStr">
        <is>
          <t>Forest Materials</t>
        </is>
      </c>
      <c r="D1019" t="n">
        <v>43</v>
      </c>
      <c r="E1019" t="n">
        <v>0</v>
      </c>
      <c r="F1019" t="n">
        <v>0</v>
      </c>
      <c r="H1019" t="n">
        <v>0</v>
      </c>
      <c r="O1019" t="n">
        <v>43</v>
      </c>
    </row>
    <row r="1020">
      <c r="A1020" s="39" t="n">
        <v>45488</v>
      </c>
      <c r="B1020" t="inlineStr">
        <is>
          <t>Jul 01-15, 2024</t>
        </is>
      </c>
      <c r="C1020" t="inlineStr">
        <is>
          <t>Healthcare</t>
        </is>
      </c>
      <c r="D1020" t="n">
        <v>2378</v>
      </c>
      <c r="E1020" t="n">
        <v>0</v>
      </c>
      <c r="F1020" t="n">
        <v>0</v>
      </c>
      <c r="H1020" t="n">
        <v>0</v>
      </c>
      <c r="O1020" t="n">
        <v>2378</v>
      </c>
    </row>
    <row r="1021">
      <c r="A1021" s="39" t="n">
        <v>45488</v>
      </c>
      <c r="B1021" t="inlineStr">
        <is>
          <t>Jul 01-15, 2024</t>
        </is>
      </c>
      <c r="C1021" t="inlineStr">
        <is>
          <t>Information Technology</t>
        </is>
      </c>
      <c r="D1021" t="n">
        <v>2765</v>
      </c>
      <c r="E1021" t="n">
        <v>-340</v>
      </c>
      <c r="F1021" t="n">
        <v>0</v>
      </c>
      <c r="H1021" t="n">
        <v>0</v>
      </c>
      <c r="O1021" t="n">
        <v>2425</v>
      </c>
    </row>
    <row r="1022">
      <c r="A1022" s="39" t="n">
        <v>45488</v>
      </c>
      <c r="B1022" t="inlineStr">
        <is>
          <t>Jul 01-15, 2024</t>
        </is>
      </c>
      <c r="C1022" t="inlineStr">
        <is>
          <t>Media, Entertainment &amp; Publication</t>
        </is>
      </c>
      <c r="D1022" t="n">
        <v>338</v>
      </c>
      <c r="E1022" t="n">
        <v>0</v>
      </c>
      <c r="F1022" t="n">
        <v>0</v>
      </c>
      <c r="H1022" t="n">
        <v>0</v>
      </c>
      <c r="O1022" t="n">
        <v>338</v>
      </c>
    </row>
    <row r="1023">
      <c r="A1023" s="39" t="n">
        <v>45488</v>
      </c>
      <c r="B1023" t="inlineStr">
        <is>
          <t>Jul 01-15, 2024</t>
        </is>
      </c>
      <c r="C1023" t="inlineStr">
        <is>
          <t>Metals &amp; Mining</t>
        </is>
      </c>
      <c r="D1023" t="n">
        <v>1969</v>
      </c>
      <c r="E1023" t="n">
        <v>0</v>
      </c>
      <c r="F1023" t="n">
        <v>0</v>
      </c>
      <c r="H1023" t="n">
        <v>0</v>
      </c>
      <c r="O1023" t="n">
        <v>1969</v>
      </c>
    </row>
    <row r="1024">
      <c r="A1024" s="39" t="n">
        <v>45488</v>
      </c>
      <c r="B1024" t="inlineStr">
        <is>
          <t>Jul 01-15, 2024</t>
        </is>
      </c>
      <c r="C1024" t="inlineStr">
        <is>
          <t>Oil, Gas &amp; Consumable Fuels</t>
        </is>
      </c>
      <c r="D1024" t="n">
        <v>1944</v>
      </c>
      <c r="E1024" t="n">
        <v>-25</v>
      </c>
      <c r="F1024" t="n">
        <v>0</v>
      </c>
      <c r="H1024" t="n">
        <v>0</v>
      </c>
      <c r="O1024" t="n">
        <v>1920</v>
      </c>
    </row>
    <row r="1025">
      <c r="A1025" s="39" t="n">
        <v>45488</v>
      </c>
      <c r="B1025" t="inlineStr">
        <is>
          <t>Jul 01-15, 2024</t>
        </is>
      </c>
      <c r="C1025" t="inlineStr">
        <is>
          <t>Others</t>
        </is>
      </c>
      <c r="D1025" t="n">
        <v>357</v>
      </c>
      <c r="E1025" t="n">
        <v>50</v>
      </c>
      <c r="F1025" t="n">
        <v>-4762</v>
      </c>
      <c r="H1025" t="n">
        <v>0</v>
      </c>
      <c r="O1025" t="n">
        <v>-4355</v>
      </c>
    </row>
    <row r="1026">
      <c r="A1026" s="39" t="n">
        <v>45488</v>
      </c>
      <c r="B1026" t="inlineStr">
        <is>
          <t>Jul 01-15, 2024</t>
        </is>
      </c>
      <c r="C1026" t="inlineStr">
        <is>
          <t>Power</t>
        </is>
      </c>
      <c r="D1026" t="n">
        <v>-891</v>
      </c>
      <c r="E1026" t="n">
        <v>-44</v>
      </c>
      <c r="F1026" t="n">
        <v>-14</v>
      </c>
      <c r="H1026" t="n">
        <v>-33</v>
      </c>
      <c r="O1026" t="n">
        <v>-982</v>
      </c>
    </row>
    <row r="1027">
      <c r="A1027" s="39" t="n">
        <v>45488</v>
      </c>
      <c r="B1027" t="inlineStr">
        <is>
          <t>Jul 01-15, 2024</t>
        </is>
      </c>
      <c r="C1027" t="inlineStr">
        <is>
          <t>Realty</t>
        </is>
      </c>
      <c r="D1027" t="n">
        <v>192</v>
      </c>
      <c r="E1027" t="n">
        <v>0</v>
      </c>
      <c r="F1027" t="n">
        <v>0</v>
      </c>
      <c r="H1027" t="n">
        <v>127</v>
      </c>
      <c r="O1027" t="n">
        <v>319</v>
      </c>
    </row>
    <row r="1028">
      <c r="A1028" s="39" t="n">
        <v>45488</v>
      </c>
      <c r="B1028" t="inlineStr">
        <is>
          <t>Jul 01-15, 2024</t>
        </is>
      </c>
      <c r="C1028" t="inlineStr">
        <is>
          <t>Services</t>
        </is>
      </c>
      <c r="D1028" t="n">
        <v>547</v>
      </c>
      <c r="E1028" t="n">
        <v>0</v>
      </c>
      <c r="F1028" t="n">
        <v>0</v>
      </c>
      <c r="H1028" t="n">
        <v>-7</v>
      </c>
      <c r="O1028" t="n">
        <v>540</v>
      </c>
    </row>
    <row r="1029">
      <c r="A1029" s="39" t="n">
        <v>45488</v>
      </c>
      <c r="B1029" t="inlineStr">
        <is>
          <t>Jul 01-15, 2024</t>
        </is>
      </c>
      <c r="C1029" t="inlineStr">
        <is>
          <t>Sovereign</t>
        </is>
      </c>
      <c r="D1029" t="n">
        <v>0</v>
      </c>
      <c r="E1029" t="n">
        <v>8276</v>
      </c>
      <c r="F1029" t="n">
        <v>139</v>
      </c>
      <c r="H1029" t="n">
        <v>0</v>
      </c>
      <c r="O1029" t="n">
        <v>8415</v>
      </c>
    </row>
    <row r="1030">
      <c r="A1030" s="39" t="n">
        <v>45488</v>
      </c>
      <c r="B1030" t="inlineStr">
        <is>
          <t>Jul 01-15, 2024</t>
        </is>
      </c>
      <c r="C1030" t="inlineStr">
        <is>
          <t>Telecommunication</t>
        </is>
      </c>
      <c r="D1030" t="n">
        <v>934</v>
      </c>
      <c r="E1030" t="n">
        <v>0</v>
      </c>
      <c r="F1030" t="n">
        <v>0</v>
      </c>
      <c r="H1030" t="n">
        <v>0</v>
      </c>
      <c r="O1030" t="n">
        <v>934</v>
      </c>
    </row>
    <row r="1031">
      <c r="A1031" s="39" t="n">
        <v>45488</v>
      </c>
      <c r="B1031" t="inlineStr">
        <is>
          <t>Jul 01-15, 2024</t>
        </is>
      </c>
      <c r="C1031" t="inlineStr">
        <is>
          <t>Textiles</t>
        </is>
      </c>
      <c r="D1031" t="n">
        <v>41</v>
      </c>
      <c r="E1031" t="n">
        <v>0</v>
      </c>
      <c r="F1031" t="n">
        <v>0</v>
      </c>
      <c r="H1031" t="n">
        <v>0</v>
      </c>
      <c r="O1031" t="n">
        <v>41</v>
      </c>
    </row>
    <row r="1032">
      <c r="A1032" s="39" t="n">
        <v>45488</v>
      </c>
      <c r="B1032" t="inlineStr">
        <is>
          <t>Jul 01-15, 2024</t>
        </is>
      </c>
      <c r="C1032" t="inlineStr">
        <is>
          <t>Utilities</t>
        </is>
      </c>
      <c r="D1032" t="n">
        <v>-38</v>
      </c>
      <c r="E1032" t="n">
        <v>0</v>
      </c>
      <c r="F1032" t="n">
        <v>0</v>
      </c>
      <c r="H1032" t="n">
        <v>0</v>
      </c>
      <c r="O1032" t="n">
        <v>-38</v>
      </c>
    </row>
    <row r="1033">
      <c r="A1033" s="39" t="n">
        <v>45504</v>
      </c>
      <c r="B1033" t="inlineStr">
        <is>
          <t>Jul 16-31, 2024</t>
        </is>
      </c>
      <c r="C1033" t="inlineStr">
        <is>
          <t>Capital Goods</t>
        </is>
      </c>
      <c r="D1033" t="n">
        <v>1315</v>
      </c>
      <c r="E1033" t="n">
        <v>0</v>
      </c>
      <c r="F1033" t="n">
        <v>0</v>
      </c>
      <c r="H1033" t="n">
        <v>0</v>
      </c>
      <c r="O1033" t="n">
        <v>1315</v>
      </c>
    </row>
    <row r="1034">
      <c r="A1034" s="39" t="n">
        <v>45504</v>
      </c>
      <c r="B1034" t="inlineStr">
        <is>
          <t>Jul 16-31, 2024</t>
        </is>
      </c>
      <c r="C1034" t="inlineStr">
        <is>
          <t>Chemicals</t>
        </is>
      </c>
      <c r="D1034" t="n">
        <v>-394</v>
      </c>
      <c r="E1034" t="n">
        <v>0</v>
      </c>
      <c r="F1034" t="n">
        <v>0</v>
      </c>
      <c r="H1034" t="n">
        <v>0</v>
      </c>
      <c r="O1034" t="n">
        <v>-394</v>
      </c>
    </row>
    <row r="1035">
      <c r="A1035" s="39" t="n">
        <v>45504</v>
      </c>
      <c r="B1035" t="inlineStr">
        <is>
          <t>Jul 16-31, 2024</t>
        </is>
      </c>
      <c r="C1035" t="inlineStr">
        <is>
          <t>Construction</t>
        </is>
      </c>
      <c r="D1035" t="n">
        <v>-627</v>
      </c>
      <c r="E1035" t="n">
        <v>0</v>
      </c>
      <c r="F1035" t="n">
        <v>0</v>
      </c>
      <c r="H1035" t="n">
        <v>0</v>
      </c>
      <c r="O1035" t="n">
        <v>-627</v>
      </c>
    </row>
    <row r="1036">
      <c r="A1036" s="39" t="n">
        <v>45504</v>
      </c>
      <c r="B1036" t="inlineStr">
        <is>
          <t>Jul 16-31, 2024</t>
        </is>
      </c>
      <c r="C1036" t="inlineStr">
        <is>
          <t>Construction Materials</t>
        </is>
      </c>
      <c r="D1036" t="n">
        <v>486</v>
      </c>
      <c r="E1036" t="n">
        <v>0</v>
      </c>
      <c r="F1036" t="n">
        <v>0</v>
      </c>
      <c r="H1036" t="n">
        <v>0</v>
      </c>
      <c r="O1036" t="n">
        <v>486</v>
      </c>
    </row>
    <row r="1037">
      <c r="A1037" s="39" t="n">
        <v>45504</v>
      </c>
      <c r="B1037" t="inlineStr">
        <is>
          <t>Jul 16-31, 2024</t>
        </is>
      </c>
      <c r="C1037" t="inlineStr">
        <is>
          <t>Consumer Durables</t>
        </is>
      </c>
      <c r="D1037" t="n">
        <v>-313</v>
      </c>
      <c r="E1037" t="n">
        <v>0</v>
      </c>
      <c r="F1037" t="n">
        <v>0</v>
      </c>
      <c r="H1037" t="n">
        <v>0</v>
      </c>
      <c r="O1037" t="n">
        <v>-313</v>
      </c>
    </row>
    <row r="1038">
      <c r="A1038" s="39" t="n">
        <v>45504</v>
      </c>
      <c r="B1038" t="inlineStr">
        <is>
          <t>Jul 16-31, 2024</t>
        </is>
      </c>
      <c r="C1038" t="inlineStr">
        <is>
          <t>Consumer Services</t>
        </is>
      </c>
      <c r="D1038" t="n">
        <v>1787</v>
      </c>
      <c r="E1038" t="n">
        <v>-10</v>
      </c>
      <c r="F1038" t="n">
        <v>0</v>
      </c>
      <c r="H1038" t="n">
        <v>0</v>
      </c>
      <c r="O1038" t="n">
        <v>1777</v>
      </c>
    </row>
    <row r="1039">
      <c r="A1039" s="39" t="n">
        <v>45504</v>
      </c>
      <c r="B1039" t="inlineStr">
        <is>
          <t>Jul 16-31, 2024</t>
        </is>
      </c>
      <c r="C1039" t="inlineStr">
        <is>
          <t>Diversified</t>
        </is>
      </c>
      <c r="D1039" t="n">
        <v>54</v>
      </c>
      <c r="E1039" t="n">
        <v>0</v>
      </c>
      <c r="F1039" t="n">
        <v>0</v>
      </c>
      <c r="H1039" t="n">
        <v>0</v>
      </c>
      <c r="O1039" t="n">
        <v>54</v>
      </c>
    </row>
    <row r="1040">
      <c r="A1040" s="39" t="n">
        <v>45504</v>
      </c>
      <c r="B1040" t="inlineStr">
        <is>
          <t>Jul 16-31, 2024</t>
        </is>
      </c>
      <c r="C1040" t="inlineStr">
        <is>
          <t>Fast Moving Consumer Goods</t>
        </is>
      </c>
      <c r="D1040" t="n">
        <v>-834</v>
      </c>
      <c r="E1040" t="n">
        <v>0</v>
      </c>
      <c r="F1040" t="n">
        <v>0</v>
      </c>
      <c r="H1040" t="n">
        <v>0</v>
      </c>
      <c r="O1040" t="n">
        <v>-834</v>
      </c>
    </row>
    <row r="1041">
      <c r="A1041" s="39" t="n">
        <v>45504</v>
      </c>
      <c r="B1041" t="inlineStr">
        <is>
          <t>Jul 16-31, 2024</t>
        </is>
      </c>
      <c r="C1041" t="inlineStr">
        <is>
          <t>Financial Services</t>
        </is>
      </c>
      <c r="D1041" t="n">
        <v>-8119</v>
      </c>
      <c r="E1041" t="n">
        <v>538</v>
      </c>
      <c r="F1041" t="n">
        <v>-155</v>
      </c>
      <c r="H1041" t="n">
        <v>0</v>
      </c>
      <c r="O1041" t="n">
        <v>-7736</v>
      </c>
    </row>
    <row r="1042">
      <c r="A1042" s="39" t="n">
        <v>45504</v>
      </c>
      <c r="B1042" t="inlineStr">
        <is>
          <t>Jul 16-31, 2024</t>
        </is>
      </c>
      <c r="C1042" t="inlineStr">
        <is>
          <t>Forest Materials</t>
        </is>
      </c>
      <c r="D1042" t="n">
        <v>107</v>
      </c>
      <c r="E1042" t="n">
        <v>0</v>
      </c>
      <c r="F1042" t="n">
        <v>0</v>
      </c>
      <c r="H1042" t="n">
        <v>0</v>
      </c>
      <c r="O1042" t="n">
        <v>107</v>
      </c>
    </row>
    <row r="1043">
      <c r="A1043" s="39" t="n">
        <v>45504</v>
      </c>
      <c r="B1043" t="inlineStr">
        <is>
          <t>Jul 16-31, 2024</t>
        </is>
      </c>
      <c r="C1043" t="inlineStr">
        <is>
          <t>Healthcare</t>
        </is>
      </c>
      <c r="D1043" t="n">
        <v>2676</v>
      </c>
      <c r="E1043" t="n">
        <v>0</v>
      </c>
      <c r="F1043" t="n">
        <v>0</v>
      </c>
      <c r="H1043" t="n">
        <v>0</v>
      </c>
      <c r="O1043" t="n">
        <v>2676</v>
      </c>
    </row>
    <row r="1044">
      <c r="A1044" s="39" t="n">
        <v>45504</v>
      </c>
      <c r="B1044" t="inlineStr">
        <is>
          <t>Jul 16-31, 2024</t>
        </is>
      </c>
      <c r="C1044" t="inlineStr">
        <is>
          <t>Information Technology</t>
        </is>
      </c>
      <c r="D1044" t="n">
        <v>8998</v>
      </c>
      <c r="E1044" t="n">
        <v>0</v>
      </c>
      <c r="F1044" t="n">
        <v>0</v>
      </c>
      <c r="H1044" t="n">
        <v>0</v>
      </c>
      <c r="O1044" t="n">
        <v>8998</v>
      </c>
    </row>
    <row r="1045">
      <c r="A1045" s="39" t="n">
        <v>45504</v>
      </c>
      <c r="B1045" t="inlineStr">
        <is>
          <t>Jul 16-31, 2024</t>
        </is>
      </c>
      <c r="C1045" t="inlineStr">
        <is>
          <t>Media, Entertainment &amp; Publication</t>
        </is>
      </c>
      <c r="D1045" t="n">
        <v>136</v>
      </c>
      <c r="E1045" t="n">
        <v>0</v>
      </c>
      <c r="F1045" t="n">
        <v>25</v>
      </c>
      <c r="H1045" t="n">
        <v>0</v>
      </c>
      <c r="O1045" t="n">
        <v>161</v>
      </c>
    </row>
    <row r="1046">
      <c r="A1046" s="39" t="n">
        <v>45504</v>
      </c>
      <c r="B1046" t="inlineStr">
        <is>
          <t>Jul 16-31, 2024</t>
        </is>
      </c>
      <c r="C1046" t="inlineStr">
        <is>
          <t>Metals &amp; Mining</t>
        </is>
      </c>
      <c r="D1046" t="n">
        <v>5341</v>
      </c>
      <c r="E1046" t="n">
        <v>0</v>
      </c>
      <c r="F1046" t="n">
        <v>0</v>
      </c>
      <c r="H1046" t="n">
        <v>0</v>
      </c>
      <c r="O1046" t="n">
        <v>5341</v>
      </c>
    </row>
    <row r="1047">
      <c r="A1047" s="39" t="n">
        <v>45504</v>
      </c>
      <c r="B1047" t="inlineStr">
        <is>
          <t>Jul 16-31, 2024</t>
        </is>
      </c>
      <c r="C1047" t="inlineStr">
        <is>
          <t>Oil, Gas &amp; Consumable Fuels</t>
        </is>
      </c>
      <c r="D1047" t="n">
        <v>-325</v>
      </c>
      <c r="E1047" t="n">
        <v>75</v>
      </c>
      <c r="F1047" t="n">
        <v>0</v>
      </c>
      <c r="H1047" t="n">
        <v>0</v>
      </c>
      <c r="O1047" t="n">
        <v>-250</v>
      </c>
    </row>
    <row r="1048">
      <c r="A1048" s="39" t="n">
        <v>45504</v>
      </c>
      <c r="B1048" t="inlineStr">
        <is>
          <t>Jul 16-31, 2024</t>
        </is>
      </c>
      <c r="C1048" t="inlineStr">
        <is>
          <t>Others</t>
        </is>
      </c>
      <c r="D1048" t="n">
        <v>808</v>
      </c>
      <c r="E1048" t="n">
        <v>1713</v>
      </c>
      <c r="F1048" t="n">
        <v>-1539</v>
      </c>
      <c r="H1048" t="n">
        <v>0</v>
      </c>
      <c r="O1048" t="n">
        <v>982</v>
      </c>
    </row>
    <row r="1049">
      <c r="A1049" s="39" t="n">
        <v>45504</v>
      </c>
      <c r="B1049" t="inlineStr">
        <is>
          <t>Jul 16-31, 2024</t>
        </is>
      </c>
      <c r="C1049" t="inlineStr">
        <is>
          <t>Power</t>
        </is>
      </c>
      <c r="D1049" t="n">
        <v>-2905</v>
      </c>
      <c r="E1049" t="n">
        <v>0</v>
      </c>
      <c r="F1049" t="n">
        <v>0</v>
      </c>
      <c r="H1049" t="n">
        <v>-46</v>
      </c>
      <c r="O1049" t="n">
        <v>-2951</v>
      </c>
    </row>
    <row r="1050">
      <c r="A1050" s="39" t="n">
        <v>45504</v>
      </c>
      <c r="B1050" t="inlineStr">
        <is>
          <t>Jul 16-31, 2024</t>
        </is>
      </c>
      <c r="C1050" t="inlineStr">
        <is>
          <t>Realty</t>
        </is>
      </c>
      <c r="D1050" t="n">
        <v>36</v>
      </c>
      <c r="E1050" t="n">
        <v>-2</v>
      </c>
      <c r="F1050" t="n">
        <v>0</v>
      </c>
      <c r="H1050" t="n">
        <v>229</v>
      </c>
      <c r="O1050" t="n">
        <v>263</v>
      </c>
    </row>
    <row r="1051">
      <c r="A1051" s="39" t="n">
        <v>45504</v>
      </c>
      <c r="B1051" t="inlineStr">
        <is>
          <t>Jul 16-31, 2024</t>
        </is>
      </c>
      <c r="C1051" t="inlineStr">
        <is>
          <t>Services</t>
        </is>
      </c>
      <c r="D1051" t="n">
        <v>-2021</v>
      </c>
      <c r="E1051" t="n">
        <v>23</v>
      </c>
      <c r="F1051" t="n">
        <v>0</v>
      </c>
      <c r="H1051" t="n">
        <v>-13</v>
      </c>
      <c r="O1051" t="n">
        <v>-2011</v>
      </c>
    </row>
    <row r="1052">
      <c r="A1052" s="39" t="n">
        <v>45504</v>
      </c>
      <c r="B1052" t="inlineStr">
        <is>
          <t>Jul 16-31, 2024</t>
        </is>
      </c>
      <c r="C1052" t="inlineStr">
        <is>
          <t>Sovereign</t>
        </is>
      </c>
      <c r="D1052" t="n">
        <v>0</v>
      </c>
      <c r="E1052" t="n">
        <v>10958</v>
      </c>
      <c r="F1052" t="n">
        <v>-132</v>
      </c>
      <c r="H1052" t="n">
        <v>0</v>
      </c>
      <c r="O1052" t="n">
        <v>10826</v>
      </c>
    </row>
    <row r="1053">
      <c r="A1053" s="39" t="n">
        <v>45504</v>
      </c>
      <c r="B1053" t="inlineStr">
        <is>
          <t>Jul 16-31, 2024</t>
        </is>
      </c>
      <c r="C1053" t="inlineStr">
        <is>
          <t>Telecommunication</t>
        </is>
      </c>
      <c r="D1053" t="n">
        <v>2204</v>
      </c>
      <c r="E1053" t="n">
        <v>0</v>
      </c>
      <c r="F1053" t="n">
        <v>0</v>
      </c>
      <c r="H1053" t="n">
        <v>0</v>
      </c>
      <c r="O1053" t="n">
        <v>2204</v>
      </c>
    </row>
    <row r="1054">
      <c r="A1054" s="39" t="n">
        <v>45504</v>
      </c>
      <c r="B1054" t="inlineStr">
        <is>
          <t>Jul 16-31, 2024</t>
        </is>
      </c>
      <c r="C1054" t="inlineStr">
        <is>
          <t>Textiles</t>
        </is>
      </c>
      <c r="D1054" t="n">
        <v>53</v>
      </c>
      <c r="E1054" t="n">
        <v>0</v>
      </c>
      <c r="F1054" t="n">
        <v>0</v>
      </c>
      <c r="H1054" t="n">
        <v>0</v>
      </c>
      <c r="O1054" t="n">
        <v>53</v>
      </c>
    </row>
    <row r="1055">
      <c r="A1055" s="39" t="n">
        <v>45504</v>
      </c>
      <c r="B1055" t="inlineStr">
        <is>
          <t>Jul 16-31, 2024</t>
        </is>
      </c>
      <c r="C1055" t="inlineStr">
        <is>
          <t>Utilities</t>
        </is>
      </c>
      <c r="D1055" t="n">
        <v>28</v>
      </c>
      <c r="E1055" t="n">
        <v>0</v>
      </c>
      <c r="F1055" t="n">
        <v>0</v>
      </c>
      <c r="H1055" t="n">
        <v>0</v>
      </c>
      <c r="O1055" t="n">
        <v>28</v>
      </c>
    </row>
    <row r="1056">
      <c r="A1056" s="39" t="n">
        <v>45519</v>
      </c>
      <c r="B1056" t="inlineStr">
        <is>
          <t>Aug 01-15, 2024</t>
        </is>
      </c>
      <c r="C1056" t="inlineStr">
        <is>
          <t>Capital Goods</t>
        </is>
      </c>
      <c r="D1056" t="n">
        <v>-1089</v>
      </c>
      <c r="E1056" t="n">
        <v>-4</v>
      </c>
      <c r="F1056" t="n">
        <v>0</v>
      </c>
      <c r="H1056" t="n">
        <v>0</v>
      </c>
      <c r="O1056" t="n">
        <v>-1093</v>
      </c>
    </row>
    <row r="1057">
      <c r="A1057" s="39" t="n">
        <v>45519</v>
      </c>
      <c r="B1057" t="inlineStr">
        <is>
          <t>Aug 01-15, 2024</t>
        </is>
      </c>
      <c r="C1057" t="inlineStr">
        <is>
          <t>Chemicals</t>
        </is>
      </c>
      <c r="D1057" t="n">
        <v>-204</v>
      </c>
      <c r="E1057" t="n">
        <v>0</v>
      </c>
      <c r="F1057" t="n">
        <v>0</v>
      </c>
      <c r="H1057" t="n">
        <v>0</v>
      </c>
      <c r="O1057" t="n">
        <v>-204</v>
      </c>
    </row>
    <row r="1058">
      <c r="A1058" s="39" t="n">
        <v>45519</v>
      </c>
      <c r="B1058" t="inlineStr">
        <is>
          <t>Aug 01-15, 2024</t>
        </is>
      </c>
      <c r="C1058" t="inlineStr">
        <is>
          <t>Construction</t>
        </is>
      </c>
      <c r="D1058" t="n">
        <v>-699</v>
      </c>
      <c r="E1058" t="n">
        <v>-70</v>
      </c>
      <c r="F1058" t="n">
        <v>0</v>
      </c>
      <c r="H1058" t="n">
        <v>0</v>
      </c>
      <c r="O1058" t="n">
        <v>-769</v>
      </c>
    </row>
    <row r="1059">
      <c r="A1059" s="39" t="n">
        <v>45519</v>
      </c>
      <c r="B1059" t="inlineStr">
        <is>
          <t>Aug 01-15, 2024</t>
        </is>
      </c>
      <c r="C1059" t="inlineStr">
        <is>
          <t>Construction Materials</t>
        </is>
      </c>
      <c r="D1059" t="n">
        <v>-2036</v>
      </c>
      <c r="E1059" t="n">
        <v>0</v>
      </c>
      <c r="F1059" t="n">
        <v>0</v>
      </c>
      <c r="H1059" t="n">
        <v>0</v>
      </c>
      <c r="O1059" t="n">
        <v>-2036</v>
      </c>
    </row>
    <row r="1060">
      <c r="A1060" s="39" t="n">
        <v>45519</v>
      </c>
      <c r="B1060" t="inlineStr">
        <is>
          <t>Aug 01-15, 2024</t>
        </is>
      </c>
      <c r="C1060" t="inlineStr">
        <is>
          <t>Consumer Durables</t>
        </is>
      </c>
      <c r="D1060" t="n">
        <v>-584</v>
      </c>
      <c r="E1060" t="n">
        <v>125</v>
      </c>
      <c r="F1060" t="n">
        <v>0</v>
      </c>
      <c r="H1060" t="n">
        <v>0</v>
      </c>
      <c r="O1060" t="n">
        <v>-459</v>
      </c>
    </row>
    <row r="1061">
      <c r="A1061" s="39" t="n">
        <v>45519</v>
      </c>
      <c r="B1061" t="inlineStr">
        <is>
          <t>Aug 01-15, 2024</t>
        </is>
      </c>
      <c r="C1061" t="inlineStr">
        <is>
          <t>Consumer Services</t>
        </is>
      </c>
      <c r="D1061" t="n">
        <v>2196</v>
      </c>
      <c r="E1061" t="n">
        <v>0</v>
      </c>
      <c r="F1061" t="n">
        <v>0</v>
      </c>
      <c r="H1061" t="n">
        <v>0</v>
      </c>
      <c r="O1061" t="n">
        <v>2196</v>
      </c>
    </row>
    <row r="1062">
      <c r="A1062" s="39" t="n">
        <v>45519</v>
      </c>
      <c r="B1062" t="inlineStr">
        <is>
          <t>Aug 01-15, 2024</t>
        </is>
      </c>
      <c r="C1062" t="inlineStr">
        <is>
          <t>Diversified</t>
        </is>
      </c>
      <c r="D1062" t="n">
        <v>-69</v>
      </c>
      <c r="E1062" t="n">
        <v>0</v>
      </c>
      <c r="F1062" t="n">
        <v>0</v>
      </c>
      <c r="H1062" t="n">
        <v>0</v>
      </c>
      <c r="O1062" t="n">
        <v>-69</v>
      </c>
    </row>
    <row r="1063">
      <c r="A1063" s="39" t="n">
        <v>45519</v>
      </c>
      <c r="B1063" t="inlineStr">
        <is>
          <t>Aug 01-15, 2024</t>
        </is>
      </c>
      <c r="C1063" t="inlineStr">
        <is>
          <t>Fast Moving Consumer Goods</t>
        </is>
      </c>
      <c r="D1063" t="n">
        <v>1785</v>
      </c>
      <c r="E1063" t="n">
        <v>0</v>
      </c>
      <c r="F1063" t="n">
        <v>0</v>
      </c>
      <c r="H1063" t="n">
        <v>0</v>
      </c>
      <c r="O1063" t="n">
        <v>1785</v>
      </c>
    </row>
    <row r="1064">
      <c r="A1064" s="39" t="n">
        <v>45519</v>
      </c>
      <c r="B1064" t="inlineStr">
        <is>
          <t>Aug 01-15, 2024</t>
        </is>
      </c>
      <c r="C1064" t="inlineStr">
        <is>
          <t>Financial Services</t>
        </is>
      </c>
      <c r="D1064" t="n">
        <v>-14790</v>
      </c>
      <c r="E1064" t="n">
        <v>-313</v>
      </c>
      <c r="F1064" t="n">
        <v>174</v>
      </c>
      <c r="H1064" t="n">
        <v>0</v>
      </c>
      <c r="O1064" t="n">
        <v>-14929</v>
      </c>
    </row>
    <row r="1065">
      <c r="A1065" s="39" t="n">
        <v>45519</v>
      </c>
      <c r="B1065" t="inlineStr">
        <is>
          <t>Aug 01-15, 2024</t>
        </is>
      </c>
      <c r="C1065" t="inlineStr">
        <is>
          <t>Forest Materials</t>
        </is>
      </c>
      <c r="D1065" t="n">
        <v>-76</v>
      </c>
      <c r="E1065" t="n">
        <v>0</v>
      </c>
      <c r="F1065" t="n">
        <v>0</v>
      </c>
      <c r="H1065" t="n">
        <v>0</v>
      </c>
      <c r="O1065" t="n">
        <v>-76</v>
      </c>
    </row>
    <row r="1066">
      <c r="A1066" s="39" t="n">
        <v>45519</v>
      </c>
      <c r="B1066" t="inlineStr">
        <is>
          <t>Aug 01-15, 2024</t>
        </is>
      </c>
      <c r="C1066" t="inlineStr">
        <is>
          <t>Healthcare</t>
        </is>
      </c>
      <c r="D1066" t="n">
        <v>3462</v>
      </c>
      <c r="E1066" t="n">
        <v>0</v>
      </c>
      <c r="F1066" t="n">
        <v>0</v>
      </c>
      <c r="H1066" t="n">
        <v>0</v>
      </c>
      <c r="O1066" t="n">
        <v>3462</v>
      </c>
    </row>
    <row r="1067">
      <c r="A1067" s="39" t="n">
        <v>45519</v>
      </c>
      <c r="B1067" t="inlineStr">
        <is>
          <t>Aug 01-15, 2024</t>
        </is>
      </c>
      <c r="C1067" t="inlineStr">
        <is>
          <t>Information Technology</t>
        </is>
      </c>
      <c r="D1067" t="n">
        <v>-493</v>
      </c>
      <c r="E1067" t="n">
        <v>0</v>
      </c>
      <c r="F1067" t="n">
        <v>0</v>
      </c>
      <c r="H1067" t="n">
        <v>0</v>
      </c>
      <c r="O1067" t="n">
        <v>-493</v>
      </c>
    </row>
    <row r="1068">
      <c r="A1068" s="39" t="n">
        <v>45519</v>
      </c>
      <c r="B1068" t="inlineStr">
        <is>
          <t>Aug 01-15, 2024</t>
        </is>
      </c>
      <c r="C1068" t="inlineStr">
        <is>
          <t>Media, Entertainment &amp; Publication</t>
        </is>
      </c>
      <c r="D1068" t="n">
        <v>-18</v>
      </c>
      <c r="E1068" t="n">
        <v>0</v>
      </c>
      <c r="F1068" t="n">
        <v>-35</v>
      </c>
      <c r="H1068" t="n">
        <v>0</v>
      </c>
      <c r="O1068" t="n">
        <v>-53</v>
      </c>
    </row>
    <row r="1069">
      <c r="A1069" s="39" t="n">
        <v>45519</v>
      </c>
      <c r="B1069" t="inlineStr">
        <is>
          <t>Aug 01-15, 2024</t>
        </is>
      </c>
      <c r="C1069" t="inlineStr">
        <is>
          <t>Metals &amp; Mining</t>
        </is>
      </c>
      <c r="D1069" t="n">
        <v>-2668</v>
      </c>
      <c r="E1069" t="n">
        <v>0</v>
      </c>
      <c r="F1069" t="n">
        <v>0</v>
      </c>
      <c r="H1069" t="n">
        <v>0</v>
      </c>
      <c r="O1069" t="n">
        <v>-2668</v>
      </c>
    </row>
    <row r="1070">
      <c r="A1070" s="39" t="n">
        <v>45519</v>
      </c>
      <c r="B1070" t="inlineStr">
        <is>
          <t>Aug 01-15, 2024</t>
        </is>
      </c>
      <c r="C1070" t="inlineStr">
        <is>
          <t>Oil, Gas &amp; Consumable Fuels</t>
        </is>
      </c>
      <c r="D1070" t="n">
        <v>-1311</v>
      </c>
      <c r="E1070" t="n">
        <v>0</v>
      </c>
      <c r="F1070" t="n">
        <v>0</v>
      </c>
      <c r="H1070" t="n">
        <v>0</v>
      </c>
      <c r="O1070" t="n">
        <v>-1311</v>
      </c>
    </row>
    <row r="1071">
      <c r="A1071" s="39" t="n">
        <v>45519</v>
      </c>
      <c r="B1071" t="inlineStr">
        <is>
          <t>Aug 01-15, 2024</t>
        </is>
      </c>
      <c r="C1071" t="inlineStr">
        <is>
          <t>Others</t>
        </is>
      </c>
      <c r="D1071" t="n">
        <v>324</v>
      </c>
      <c r="E1071" t="n">
        <v>-1030</v>
      </c>
      <c r="F1071" t="n">
        <v>416</v>
      </c>
      <c r="H1071" t="n">
        <v>0</v>
      </c>
      <c r="O1071" t="n">
        <v>-290</v>
      </c>
    </row>
    <row r="1072">
      <c r="A1072" s="39" t="n">
        <v>45519</v>
      </c>
      <c r="B1072" t="inlineStr">
        <is>
          <t>Aug 01-15, 2024</t>
        </is>
      </c>
      <c r="C1072" t="inlineStr">
        <is>
          <t>Power</t>
        </is>
      </c>
      <c r="D1072" t="n">
        <v>1169</v>
      </c>
      <c r="E1072" t="n">
        <v>0</v>
      </c>
      <c r="F1072" t="n">
        <v>-14</v>
      </c>
      <c r="H1072" t="n">
        <v>-22</v>
      </c>
      <c r="O1072" t="n">
        <v>1133</v>
      </c>
    </row>
    <row r="1073">
      <c r="A1073" s="39" t="n">
        <v>45519</v>
      </c>
      <c r="B1073" t="inlineStr">
        <is>
          <t>Aug 01-15, 2024</t>
        </is>
      </c>
      <c r="C1073" t="inlineStr">
        <is>
          <t>Realty</t>
        </is>
      </c>
      <c r="D1073" t="n">
        <v>-889</v>
      </c>
      <c r="E1073" t="n">
        <v>50</v>
      </c>
      <c r="F1073" t="n">
        <v>-230</v>
      </c>
      <c r="H1073" t="n">
        <v>1985</v>
      </c>
      <c r="O1073" t="n">
        <v>916</v>
      </c>
    </row>
    <row r="1074">
      <c r="A1074" s="39" t="n">
        <v>45519</v>
      </c>
      <c r="B1074" t="inlineStr">
        <is>
          <t>Aug 01-15, 2024</t>
        </is>
      </c>
      <c r="C1074" t="inlineStr">
        <is>
          <t>Services</t>
        </is>
      </c>
      <c r="D1074" t="n">
        <v>-2088</v>
      </c>
      <c r="E1074" t="n">
        <v>-32</v>
      </c>
      <c r="F1074" t="n">
        <v>0</v>
      </c>
      <c r="H1074" t="n">
        <v>-6</v>
      </c>
      <c r="O1074" t="n">
        <v>-2126</v>
      </c>
    </row>
    <row r="1075">
      <c r="A1075" s="39" t="n">
        <v>45519</v>
      </c>
      <c r="B1075" t="inlineStr">
        <is>
          <t>Aug 01-15, 2024</t>
        </is>
      </c>
      <c r="C1075" t="inlineStr">
        <is>
          <t>Sovereign</t>
        </is>
      </c>
      <c r="D1075" t="n">
        <v>0</v>
      </c>
      <c r="E1075" t="n">
        <v>9898</v>
      </c>
      <c r="F1075" t="n">
        <v>-275</v>
      </c>
      <c r="H1075" t="n">
        <v>0</v>
      </c>
      <c r="O1075" t="n">
        <v>9623</v>
      </c>
    </row>
    <row r="1076">
      <c r="A1076" s="39" t="n">
        <v>45519</v>
      </c>
      <c r="B1076" t="inlineStr">
        <is>
          <t>Aug 01-15, 2024</t>
        </is>
      </c>
      <c r="C1076" t="inlineStr">
        <is>
          <t>Telecommunication</t>
        </is>
      </c>
      <c r="D1076" t="n">
        <v>662</v>
      </c>
      <c r="E1076" t="n">
        <v>0</v>
      </c>
      <c r="F1076" t="n">
        <v>0</v>
      </c>
      <c r="H1076" t="n">
        <v>0</v>
      </c>
      <c r="O1076" t="n">
        <v>662</v>
      </c>
    </row>
    <row r="1077">
      <c r="A1077" s="39" t="n">
        <v>45519</v>
      </c>
      <c r="B1077" t="inlineStr">
        <is>
          <t>Aug 01-15, 2024</t>
        </is>
      </c>
      <c r="C1077" t="inlineStr">
        <is>
          <t>Textiles</t>
        </is>
      </c>
      <c r="D1077" t="n">
        <v>116</v>
      </c>
      <c r="E1077" t="n">
        <v>0</v>
      </c>
      <c r="F1077" t="n">
        <v>0</v>
      </c>
      <c r="H1077" t="n">
        <v>0</v>
      </c>
      <c r="O1077" t="n">
        <v>116</v>
      </c>
    </row>
    <row r="1078">
      <c r="A1078" s="39" t="n">
        <v>45519</v>
      </c>
      <c r="B1078" t="inlineStr">
        <is>
          <t>Aug 01-15, 2024</t>
        </is>
      </c>
      <c r="C1078" t="inlineStr">
        <is>
          <t>Utilities</t>
        </is>
      </c>
      <c r="D1078" t="n">
        <v>105</v>
      </c>
      <c r="E1078" t="n">
        <v>0</v>
      </c>
      <c r="F1078" t="n">
        <v>0</v>
      </c>
      <c r="H1078" t="n">
        <v>0</v>
      </c>
      <c r="O1078" t="n">
        <v>105</v>
      </c>
    </row>
    <row r="1079">
      <c r="A1079" s="43" t="n">
        <v>46173</v>
      </c>
      <c r="B1079" t="inlineStr">
        <is>
          <t>May 16-31, 2026</t>
        </is>
      </c>
      <c r="C1079" t="inlineStr">
        <is>
          <t>Automobile and Auto Components</t>
        </is>
      </c>
      <c r="D1079" t="n">
        <v>-2175</v>
      </c>
      <c r="E1079" t="n">
        <v>-22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-2197</v>
      </c>
    </row>
    <row r="1080">
      <c r="A1080" s="43" t="n">
        <v>46173</v>
      </c>
      <c r="B1080" t="inlineStr">
        <is>
          <t>May 16-31, 2026</t>
        </is>
      </c>
      <c r="C1080" t="inlineStr">
        <is>
          <t>Capital Goods</t>
        </is>
      </c>
      <c r="D1080" t="n">
        <v>154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154</v>
      </c>
    </row>
    <row r="1081">
      <c r="A1081" s="43" t="n">
        <v>46173</v>
      </c>
      <c r="B1081" t="inlineStr">
        <is>
          <t>May 16-31, 2026</t>
        </is>
      </c>
      <c r="C1081" t="inlineStr">
        <is>
          <t>Chemicals</t>
        </is>
      </c>
      <c r="D1081" t="n">
        <v>90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90</v>
      </c>
    </row>
    <row r="1082">
      <c r="A1082" s="43" t="n">
        <v>46173</v>
      </c>
      <c r="B1082" t="inlineStr">
        <is>
          <t>May 16-31, 2026</t>
        </is>
      </c>
      <c r="C1082" t="inlineStr">
        <is>
          <t>Construction</t>
        </is>
      </c>
      <c r="D1082" t="n">
        <v>-220</v>
      </c>
      <c r="E1082" t="n">
        <v>0</v>
      </c>
      <c r="F1082" t="n">
        <v>0</v>
      </c>
      <c r="G1082" t="n">
        <v>0</v>
      </c>
      <c r="H1082" t="n">
        <v>-1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-221</v>
      </c>
    </row>
    <row r="1083">
      <c r="A1083" s="43" t="n">
        <v>46173</v>
      </c>
      <c r="B1083" t="inlineStr">
        <is>
          <t>May 16-31, 2026</t>
        </is>
      </c>
      <c r="C1083" t="inlineStr">
        <is>
          <t>Construction Materials</t>
        </is>
      </c>
      <c r="D1083" t="n">
        <v>-434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-434</v>
      </c>
    </row>
    <row r="1084">
      <c r="A1084" s="43" t="n">
        <v>46173</v>
      </c>
      <c r="B1084" t="inlineStr">
        <is>
          <t>May 16-31, 2026</t>
        </is>
      </c>
      <c r="C1084" t="inlineStr">
        <is>
          <t>Consumer Durables</t>
        </is>
      </c>
      <c r="D1084" t="n">
        <v>-287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-287</v>
      </c>
    </row>
    <row r="1085">
      <c r="A1085" s="43" t="n">
        <v>46173</v>
      </c>
      <c r="B1085" t="inlineStr">
        <is>
          <t>May 16-31, 2026</t>
        </is>
      </c>
      <c r="C1085" t="inlineStr">
        <is>
          <t>Consumer Services</t>
        </is>
      </c>
      <c r="D1085" t="n">
        <v>-1630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-1630</v>
      </c>
    </row>
    <row r="1086">
      <c r="A1086" s="43" t="n">
        <v>46173</v>
      </c>
      <c r="B1086" t="inlineStr">
        <is>
          <t>May 16-31, 2026</t>
        </is>
      </c>
      <c r="C1086" t="inlineStr">
        <is>
          <t>Diversified</t>
        </is>
      </c>
      <c r="D1086" t="n">
        <v>-14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-14</v>
      </c>
    </row>
    <row r="1087">
      <c r="A1087" s="43" t="n">
        <v>46173</v>
      </c>
      <c r="B1087" t="inlineStr">
        <is>
          <t>May 16-31, 2026</t>
        </is>
      </c>
      <c r="C1087" t="inlineStr">
        <is>
          <t>Fast Moving Consumer Goods</t>
        </is>
      </c>
      <c r="D1087" t="n">
        <v>-1936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-1936</v>
      </c>
    </row>
    <row r="1088">
      <c r="A1088" s="43" t="n">
        <v>46173</v>
      </c>
      <c r="B1088" t="inlineStr">
        <is>
          <t>May 16-31, 2026</t>
        </is>
      </c>
      <c r="C1088" t="inlineStr">
        <is>
          <t>Financial Services</t>
        </is>
      </c>
      <c r="D1088" t="n">
        <v>-5181</v>
      </c>
      <c r="E1088" t="n">
        <v>-33</v>
      </c>
      <c r="F1088" t="n">
        <v>204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32</v>
      </c>
      <c r="N1088" t="n">
        <v>0</v>
      </c>
      <c r="O1088" t="n">
        <v>-4978</v>
      </c>
    </row>
    <row r="1089">
      <c r="A1089" s="43" t="n">
        <v>46173</v>
      </c>
      <c r="B1089" t="inlineStr">
        <is>
          <t>May 16-31, 2026</t>
        </is>
      </c>
      <c r="C1089" t="inlineStr">
        <is>
          <t>Forest Materials</t>
        </is>
      </c>
      <c r="D1089" t="n">
        <v>1</v>
      </c>
      <c r="E1089" t="n">
        <v>-10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-9</v>
      </c>
    </row>
    <row r="1090">
      <c r="A1090" s="43" t="n">
        <v>46173</v>
      </c>
      <c r="B1090" t="inlineStr">
        <is>
          <t>May 16-31, 2026</t>
        </is>
      </c>
      <c r="C1090" t="inlineStr">
        <is>
          <t>Healthcare</t>
        </is>
      </c>
      <c r="D1090" t="n">
        <v>601</v>
      </c>
      <c r="E1090" t="n">
        <v>0</v>
      </c>
      <c r="F1090" t="n">
        <v>-172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429</v>
      </c>
    </row>
    <row r="1091">
      <c r="A1091" s="43" t="n">
        <v>46173</v>
      </c>
      <c r="B1091" t="inlineStr">
        <is>
          <t>May 16-31, 2026</t>
        </is>
      </c>
      <c r="C1091" t="inlineStr">
        <is>
          <t>Information Technology</t>
        </is>
      </c>
      <c r="D1091" t="n">
        <v>-268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-268</v>
      </c>
    </row>
    <row r="1092">
      <c r="A1092" s="43" t="n">
        <v>46173</v>
      </c>
      <c r="B1092" t="inlineStr">
        <is>
          <t>May 16-31, 2026</t>
        </is>
      </c>
      <c r="C1092" t="inlineStr">
        <is>
          <t>Media, Entertainment &amp; Publication</t>
        </is>
      </c>
      <c r="D1092" t="n">
        <v>-110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-110</v>
      </c>
    </row>
    <row r="1093">
      <c r="A1093" s="43" t="n">
        <v>46173</v>
      </c>
      <c r="B1093" t="inlineStr">
        <is>
          <t>May 16-31, 2026</t>
        </is>
      </c>
      <c r="C1093" t="inlineStr">
        <is>
          <t>Metals &amp; Mining</t>
        </is>
      </c>
      <c r="D1093" t="n">
        <v>4999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4999</v>
      </c>
    </row>
    <row r="1094">
      <c r="A1094" s="43" t="n">
        <v>46173</v>
      </c>
      <c r="B1094" t="inlineStr">
        <is>
          <t>May 16-31, 2026</t>
        </is>
      </c>
      <c r="C1094" t="inlineStr">
        <is>
          <t>Oil, Gas &amp; Consumable Fuels</t>
        </is>
      </c>
      <c r="D1094" t="n">
        <v>-2093</v>
      </c>
      <c r="E1094" t="n">
        <v>0</v>
      </c>
      <c r="F1094" t="n">
        <v>0</v>
      </c>
      <c r="G1094" t="n">
        <v>0</v>
      </c>
      <c r="H1094" t="n">
        <v>234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-1859</v>
      </c>
    </row>
    <row r="1095">
      <c r="A1095" s="43" t="n">
        <v>46173</v>
      </c>
      <c r="B1095" t="inlineStr">
        <is>
          <t>May 16-31, 2026</t>
        </is>
      </c>
      <c r="C1095" t="inlineStr">
        <is>
          <t>Others</t>
        </is>
      </c>
      <c r="D1095" t="n">
        <v>-254</v>
      </c>
      <c r="E1095" t="n">
        <v>-494</v>
      </c>
      <c r="F1095" t="n">
        <v>-1440</v>
      </c>
      <c r="G1095" t="n">
        <v>0</v>
      </c>
      <c r="H1095" t="n">
        <v>0</v>
      </c>
      <c r="I1095" t="n">
        <v>42</v>
      </c>
      <c r="J1095" t="n">
        <v>-298</v>
      </c>
      <c r="K1095" t="n">
        <v>0</v>
      </c>
      <c r="L1095" t="n">
        <v>0</v>
      </c>
      <c r="M1095" t="n">
        <v>-178</v>
      </c>
      <c r="N1095" t="n">
        <v>5</v>
      </c>
      <c r="O1095" t="n">
        <v>-2617</v>
      </c>
    </row>
    <row r="1096">
      <c r="A1096" s="43" t="n">
        <v>46173</v>
      </c>
      <c r="B1096" t="inlineStr">
        <is>
          <t>May 16-31, 2026</t>
        </is>
      </c>
      <c r="C1096" t="inlineStr">
        <is>
          <t>Power</t>
        </is>
      </c>
      <c r="D1096" t="n">
        <v>476</v>
      </c>
      <c r="E1096" t="n">
        <v>0</v>
      </c>
      <c r="F1096" t="n">
        <v>0</v>
      </c>
      <c r="G1096" t="n">
        <v>0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478</v>
      </c>
    </row>
    <row r="1097">
      <c r="A1097" s="43" t="n">
        <v>46173</v>
      </c>
      <c r="B1097" t="inlineStr">
        <is>
          <t>May 16-31, 2026</t>
        </is>
      </c>
      <c r="C1097" t="inlineStr">
        <is>
          <t>Realty</t>
        </is>
      </c>
      <c r="D1097" t="n">
        <v>30</v>
      </c>
      <c r="E1097" t="n">
        <v>-18</v>
      </c>
      <c r="F1097" t="n">
        <v>0</v>
      </c>
      <c r="G1097" t="n">
        <v>0</v>
      </c>
      <c r="H1097" t="n">
        <v>-119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-107</v>
      </c>
    </row>
    <row r="1098">
      <c r="A1098" s="43" t="n">
        <v>46173</v>
      </c>
      <c r="B1098" t="inlineStr">
        <is>
          <t>May 16-31, 2026</t>
        </is>
      </c>
      <c r="C1098" t="inlineStr">
        <is>
          <t>Services</t>
        </is>
      </c>
      <c r="D1098" t="n">
        <v>185</v>
      </c>
      <c r="E1098" t="n">
        <v>0</v>
      </c>
      <c r="F1098" t="n">
        <v>0</v>
      </c>
      <c r="G1098" t="n">
        <v>0</v>
      </c>
      <c r="H1098" t="n">
        <v>-62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123</v>
      </c>
    </row>
    <row r="1099">
      <c r="A1099" s="43" t="n">
        <v>46173</v>
      </c>
      <c r="B1099" t="inlineStr">
        <is>
          <t>May 16-31, 2026</t>
        </is>
      </c>
      <c r="C1099" t="inlineStr">
        <is>
          <t>Sovereign</t>
        </is>
      </c>
      <c r="D1099" t="n">
        <v>0</v>
      </c>
      <c r="E1099" t="n">
        <v>540</v>
      </c>
      <c r="F1099" t="n">
        <v>316</v>
      </c>
      <c r="G1099" t="n">
        <v>1462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2318</v>
      </c>
    </row>
    <row r="1100">
      <c r="A1100" s="43" t="n">
        <v>46173</v>
      </c>
      <c r="B1100" t="inlineStr">
        <is>
          <t>May 16-31, 2026</t>
        </is>
      </c>
      <c r="C1100" t="inlineStr">
        <is>
          <t>Telecommunication</t>
        </is>
      </c>
      <c r="D1100" t="n">
        <v>2127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2127</v>
      </c>
    </row>
    <row r="1101">
      <c r="A1101" s="43" t="n">
        <v>46173</v>
      </c>
      <c r="B1101" t="inlineStr">
        <is>
          <t>May 16-31, 2026</t>
        </is>
      </c>
      <c r="C1101" t="inlineStr">
        <is>
          <t>Textiles</t>
        </is>
      </c>
      <c r="D1101" t="n">
        <v>39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39</v>
      </c>
    </row>
    <row r="1102">
      <c r="A1102" s="43" t="n">
        <v>46173</v>
      </c>
      <c r="B1102" t="inlineStr">
        <is>
          <t>May 16-31, 2026</t>
        </is>
      </c>
      <c r="C1102" t="inlineStr">
        <is>
          <t>Utilities</t>
        </is>
      </c>
      <c r="D1102" t="n">
        <v>-19</v>
      </c>
      <c r="E1102" t="n">
        <v>-6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-25</v>
      </c>
    </row>
    <row r="1103">
      <c r="A1103" s="43" t="n">
        <v>46188</v>
      </c>
      <c r="B1103" t="inlineStr">
        <is>
          <t>Jun 01-15, 2026</t>
        </is>
      </c>
      <c r="C1103" t="inlineStr">
        <is>
          <t>Automobile and Auto Components</t>
        </is>
      </c>
      <c r="D1103" t="n">
        <v>-9044</v>
      </c>
      <c r="E1103" t="n">
        <v>-5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-9049</v>
      </c>
    </row>
    <row r="1104">
      <c r="A1104" s="43" t="n">
        <v>46188</v>
      </c>
      <c r="B1104" t="inlineStr">
        <is>
          <t>Jun 01-15, 2026</t>
        </is>
      </c>
      <c r="C1104" t="inlineStr">
        <is>
          <t>Capital Goods</t>
        </is>
      </c>
      <c r="D1104" t="n">
        <v>-2586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-2586</v>
      </c>
    </row>
    <row r="1105">
      <c r="A1105" s="43" t="n">
        <v>46188</v>
      </c>
      <c r="B1105" t="inlineStr">
        <is>
          <t>Jun 01-15, 2026</t>
        </is>
      </c>
      <c r="C1105" t="inlineStr">
        <is>
          <t>Chemicals</t>
        </is>
      </c>
      <c r="D1105" t="n">
        <v>-773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-773</v>
      </c>
    </row>
    <row r="1106">
      <c r="A1106" s="43" t="n">
        <v>46188</v>
      </c>
      <c r="B1106" t="inlineStr">
        <is>
          <t>Jun 01-15, 2026</t>
        </is>
      </c>
      <c r="C1106" t="inlineStr">
        <is>
          <t>Construction</t>
        </is>
      </c>
      <c r="D1106" t="n">
        <v>-603</v>
      </c>
      <c r="E1106" t="n">
        <v>0</v>
      </c>
      <c r="F1106" t="n">
        <v>-146</v>
      </c>
      <c r="G1106" t="n">
        <v>0</v>
      </c>
      <c r="H1106" t="n">
        <v>-1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-750</v>
      </c>
    </row>
    <row r="1107">
      <c r="A1107" s="43" t="n">
        <v>46188</v>
      </c>
      <c r="B1107" t="inlineStr">
        <is>
          <t>Jun 01-15, 2026</t>
        </is>
      </c>
      <c r="C1107" t="inlineStr">
        <is>
          <t>Construction Materials</t>
        </is>
      </c>
      <c r="D1107" t="n">
        <v>-2426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-2426</v>
      </c>
    </row>
    <row r="1108">
      <c r="A1108" s="43" t="n">
        <v>46188</v>
      </c>
      <c r="B1108" t="inlineStr">
        <is>
          <t>Jun 01-15, 2026</t>
        </is>
      </c>
      <c r="C1108" t="inlineStr">
        <is>
          <t>Consumer Durables</t>
        </is>
      </c>
      <c r="D1108" t="n">
        <v>-634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-634</v>
      </c>
    </row>
    <row r="1109">
      <c r="A1109" s="43" t="n">
        <v>46188</v>
      </c>
      <c r="B1109" t="inlineStr">
        <is>
          <t>Jun 01-15, 2026</t>
        </is>
      </c>
      <c r="C1109" t="inlineStr">
        <is>
          <t>Consumer Services</t>
        </is>
      </c>
      <c r="D1109" t="n">
        <v>-1852</v>
      </c>
      <c r="E1109" t="n">
        <v>0</v>
      </c>
      <c r="F1109" t="n">
        <v>-50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-1902</v>
      </c>
    </row>
    <row r="1110">
      <c r="A1110" s="43" t="n">
        <v>46188</v>
      </c>
      <c r="B1110" t="inlineStr">
        <is>
          <t>Jun 01-15, 2026</t>
        </is>
      </c>
      <c r="C1110" t="inlineStr">
        <is>
          <t>Diversified</t>
        </is>
      </c>
      <c r="D1110" t="n">
        <v>-13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-13</v>
      </c>
    </row>
    <row r="1111">
      <c r="A1111" s="43" t="n">
        <v>46188</v>
      </c>
      <c r="B1111" t="inlineStr">
        <is>
          <t>Jun 01-15, 2026</t>
        </is>
      </c>
      <c r="C1111" t="inlineStr">
        <is>
          <t>Fast Moving Consumer Goods</t>
        </is>
      </c>
      <c r="D1111" t="n">
        <v>-5063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-5063</v>
      </c>
    </row>
    <row r="1112">
      <c r="A1112" s="43" t="n">
        <v>46188</v>
      </c>
      <c r="B1112" t="inlineStr">
        <is>
          <t>Jun 01-15, 2026</t>
        </is>
      </c>
      <c r="C1112" t="inlineStr">
        <is>
          <t>Financial Services</t>
        </is>
      </c>
      <c r="D1112" t="n">
        <v>-11263</v>
      </c>
      <c r="E1112" t="n">
        <v>541</v>
      </c>
      <c r="F1112" t="n">
        <v>2876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2</v>
      </c>
      <c r="N1112" t="n">
        <v>0</v>
      </c>
      <c r="O1112" t="n">
        <v>-7844</v>
      </c>
    </row>
    <row r="1113">
      <c r="A1113" s="43" t="n">
        <v>46188</v>
      </c>
      <c r="B1113" t="inlineStr">
        <is>
          <t>Jun 01-15, 2026</t>
        </is>
      </c>
      <c r="C1113" t="inlineStr">
        <is>
          <t>Forest Materials</t>
        </is>
      </c>
      <c r="D1113" t="n">
        <v>-12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-12</v>
      </c>
    </row>
    <row r="1114">
      <c r="A1114" s="43" t="n">
        <v>46188</v>
      </c>
      <c r="B1114" t="inlineStr">
        <is>
          <t>Jun 01-15, 2026</t>
        </is>
      </c>
      <c r="C1114" t="inlineStr">
        <is>
          <t>Healthcare</t>
        </is>
      </c>
      <c r="D1114" t="n">
        <v>-4501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-4501</v>
      </c>
    </row>
    <row r="1115">
      <c r="A1115" s="43" t="n">
        <v>46188</v>
      </c>
      <c r="B1115" t="inlineStr">
        <is>
          <t>Jun 01-15, 2026</t>
        </is>
      </c>
      <c r="C1115" t="inlineStr">
        <is>
          <t>Information Technology</t>
        </is>
      </c>
      <c r="D1115" t="n">
        <v>-6733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-6733</v>
      </c>
    </row>
    <row r="1116">
      <c r="A1116" s="43" t="n">
        <v>46188</v>
      </c>
      <c r="B1116" t="inlineStr">
        <is>
          <t>Jun 01-15, 2026</t>
        </is>
      </c>
      <c r="C1116" t="inlineStr">
        <is>
          <t>Media, Entertainment &amp; Publication</t>
        </is>
      </c>
      <c r="D1116" t="n">
        <v>-232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-232</v>
      </c>
    </row>
    <row r="1117">
      <c r="A1117" s="43" t="n">
        <v>46188</v>
      </c>
      <c r="B1117" t="inlineStr">
        <is>
          <t>Jun 01-15, 2026</t>
        </is>
      </c>
      <c r="C1117" t="inlineStr">
        <is>
          <t>Metals &amp; Mining</t>
        </is>
      </c>
      <c r="D1117" t="n">
        <v>-4722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-4722</v>
      </c>
    </row>
    <row r="1118">
      <c r="A1118" s="43" t="n">
        <v>46188</v>
      </c>
      <c r="B1118" t="inlineStr">
        <is>
          <t>Jun 01-15, 2026</t>
        </is>
      </c>
      <c r="C1118" t="inlineStr">
        <is>
          <t>Oil, Gas &amp; Consumable Fuels</t>
        </is>
      </c>
      <c r="D1118" t="n">
        <v>-10488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-10487</v>
      </c>
    </row>
    <row r="1119">
      <c r="A1119" s="43" t="n">
        <v>46188</v>
      </c>
      <c r="B1119" t="inlineStr">
        <is>
          <t>Jun 01-15, 2026</t>
        </is>
      </c>
      <c r="C1119" t="inlineStr">
        <is>
          <t>Others</t>
        </is>
      </c>
      <c r="D1119" t="n">
        <v>629</v>
      </c>
      <c r="E1119" t="n">
        <v>-58</v>
      </c>
      <c r="F1119" t="n">
        <v>-261</v>
      </c>
      <c r="G1119" t="n">
        <v>0</v>
      </c>
      <c r="H1119" t="n">
        <v>0</v>
      </c>
      <c r="I1119" t="n">
        <v>28</v>
      </c>
      <c r="J1119" t="n">
        <v>18</v>
      </c>
      <c r="K1119" t="n">
        <v>-1</v>
      </c>
      <c r="L1119" t="n">
        <v>0</v>
      </c>
      <c r="M1119" t="n">
        <v>-3</v>
      </c>
      <c r="N1119" t="n">
        <v>0</v>
      </c>
      <c r="O1119" t="n">
        <v>352</v>
      </c>
    </row>
    <row r="1120">
      <c r="A1120" s="43" t="n">
        <v>46188</v>
      </c>
      <c r="B1120" t="inlineStr">
        <is>
          <t>Jun 01-15, 2026</t>
        </is>
      </c>
      <c r="C1120" t="inlineStr">
        <is>
          <t>Power</t>
        </is>
      </c>
      <c r="D1120" t="n">
        <v>-2577</v>
      </c>
      <c r="E1120" t="n">
        <v>-34</v>
      </c>
      <c r="F1120" t="n">
        <v>0</v>
      </c>
      <c r="G1120" t="n">
        <v>0</v>
      </c>
      <c r="H1120" t="n">
        <v>-22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-2633</v>
      </c>
    </row>
    <row r="1121">
      <c r="A1121" s="43" t="n">
        <v>46188</v>
      </c>
      <c r="B1121" t="inlineStr">
        <is>
          <t>Jun 01-15, 2026</t>
        </is>
      </c>
      <c r="C1121" t="inlineStr">
        <is>
          <t>Realty</t>
        </is>
      </c>
      <c r="D1121" t="n">
        <v>-1093</v>
      </c>
      <c r="E1121" t="n">
        <v>0</v>
      </c>
      <c r="F1121" t="n">
        <v>-59</v>
      </c>
      <c r="G1121" t="n">
        <v>0</v>
      </c>
      <c r="H1121" t="n">
        <v>-19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-1171</v>
      </c>
    </row>
    <row r="1122">
      <c r="A1122" s="43" t="n">
        <v>46188</v>
      </c>
      <c r="B1122" t="inlineStr">
        <is>
          <t>Jun 01-15, 2026</t>
        </is>
      </c>
      <c r="C1122" t="inlineStr">
        <is>
          <t>Services</t>
        </is>
      </c>
      <c r="D1122" t="n">
        <v>302</v>
      </c>
      <c r="E1122" t="n">
        <v>0</v>
      </c>
      <c r="F1122" t="n">
        <v>0</v>
      </c>
      <c r="G1122" t="n">
        <v>0</v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305</v>
      </c>
    </row>
    <row r="1123">
      <c r="A1123" s="43" t="n">
        <v>46188</v>
      </c>
      <c r="B1123" t="inlineStr">
        <is>
          <t>Jun 01-15, 2026</t>
        </is>
      </c>
      <c r="C1123" t="inlineStr">
        <is>
          <t>Sovereign</t>
        </is>
      </c>
      <c r="D1123" t="n">
        <v>0</v>
      </c>
      <c r="E1123" t="n">
        <v>3401</v>
      </c>
      <c r="F1123" t="n">
        <v>864</v>
      </c>
      <c r="G1123" t="n">
        <v>15627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19892</v>
      </c>
    </row>
    <row r="1124">
      <c r="A1124" s="43" t="n">
        <v>46188</v>
      </c>
      <c r="B1124" t="inlineStr">
        <is>
          <t>Jun 01-15, 2026</t>
        </is>
      </c>
      <c r="C1124" t="inlineStr">
        <is>
          <t>Telecommunication</t>
        </is>
      </c>
      <c r="D1124" t="n">
        <v>373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373</v>
      </c>
    </row>
    <row r="1125">
      <c r="A1125" s="43" t="n">
        <v>46188</v>
      </c>
      <c r="B1125" t="inlineStr">
        <is>
          <t>Jun 01-15, 2026</t>
        </is>
      </c>
      <c r="C1125" t="inlineStr">
        <is>
          <t>Textiles</t>
        </is>
      </c>
      <c r="D1125" t="n">
        <v>-146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-146</v>
      </c>
    </row>
    <row r="1126">
      <c r="A1126" s="43" t="n">
        <v>46188</v>
      </c>
      <c r="B1126" t="inlineStr">
        <is>
          <t>Jun 01-15, 2026</t>
        </is>
      </c>
      <c r="C1126" t="inlineStr">
        <is>
          <t>Utilities</t>
        </is>
      </c>
      <c r="D1126" t="n">
        <v>7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7</v>
      </c>
    </row>
    <row r="1127">
      <c r="A1127" s="43" t="n">
        <v>46203</v>
      </c>
      <c r="B1127" t="inlineStr">
        <is>
          <t>Jun 16-30, 2026</t>
        </is>
      </c>
      <c r="C1127" t="inlineStr">
        <is>
          <t>Automobile and Auto Components</t>
        </is>
      </c>
      <c r="D1127" t="n">
        <v>-1324</v>
      </c>
      <c r="E1127" t="n">
        <v>-12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-1336</v>
      </c>
    </row>
    <row r="1128">
      <c r="A1128" s="43" t="n">
        <v>46203</v>
      </c>
      <c r="B1128" t="inlineStr">
        <is>
          <t>Jun 16-30, 2026</t>
        </is>
      </c>
      <c r="C1128" t="inlineStr">
        <is>
          <t>Capital Goods</t>
        </is>
      </c>
      <c r="D1128" t="n">
        <v>-1442</v>
      </c>
      <c r="E1128" t="n">
        <v>0</v>
      </c>
      <c r="F1128" t="n">
        <v>-1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-1443</v>
      </c>
    </row>
    <row r="1129">
      <c r="A1129" s="43" t="n">
        <v>46203</v>
      </c>
      <c r="B1129" t="inlineStr">
        <is>
          <t>Jun 16-30, 2026</t>
        </is>
      </c>
      <c r="C1129" t="inlineStr">
        <is>
          <t>Chemicals</t>
        </is>
      </c>
      <c r="D1129" t="n">
        <v>-514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-514</v>
      </c>
    </row>
    <row r="1130">
      <c r="A1130" s="43" t="n">
        <v>46203</v>
      </c>
      <c r="B1130" t="inlineStr">
        <is>
          <t>Jun 16-30, 2026</t>
        </is>
      </c>
      <c r="C1130" t="inlineStr">
        <is>
          <t>Construction</t>
        </is>
      </c>
      <c r="D1130" t="n">
        <v>3484</v>
      </c>
      <c r="E1130" t="n">
        <v>0</v>
      </c>
      <c r="F1130" t="n">
        <v>0</v>
      </c>
      <c r="G1130" t="n">
        <v>0</v>
      </c>
      <c r="H1130" t="n">
        <v>-6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3478</v>
      </c>
    </row>
    <row r="1131">
      <c r="A1131" s="43" t="n">
        <v>46203</v>
      </c>
      <c r="B1131" t="inlineStr">
        <is>
          <t>Jun 16-30, 2026</t>
        </is>
      </c>
      <c r="C1131" t="inlineStr">
        <is>
          <t>Construction Materials</t>
        </is>
      </c>
      <c r="D1131" t="n">
        <v>-650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-650</v>
      </c>
    </row>
    <row r="1132">
      <c r="A1132" s="43" t="n">
        <v>46203</v>
      </c>
      <c r="B1132" t="inlineStr">
        <is>
          <t>Jun 16-30, 2026</t>
        </is>
      </c>
      <c r="C1132" t="inlineStr">
        <is>
          <t>Consumer Durables</t>
        </is>
      </c>
      <c r="D1132" t="n">
        <v>2564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2564</v>
      </c>
    </row>
    <row r="1133">
      <c r="A1133" s="43" t="n">
        <v>46203</v>
      </c>
      <c r="B1133" t="inlineStr">
        <is>
          <t>Jun 16-30, 2026</t>
        </is>
      </c>
      <c r="C1133" t="inlineStr">
        <is>
          <t>Consumer Services</t>
        </is>
      </c>
      <c r="D1133" t="n">
        <v>3081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3081</v>
      </c>
    </row>
    <row r="1134">
      <c r="A1134" s="43" t="n">
        <v>46203</v>
      </c>
      <c r="B1134" t="inlineStr">
        <is>
          <t>Jun 16-30, 2026</t>
        </is>
      </c>
      <c r="C1134" t="inlineStr">
        <is>
          <t>Diversified</t>
        </is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7</v>
      </c>
    </row>
    <row r="1135">
      <c r="A1135" s="43" t="n">
        <v>46203</v>
      </c>
      <c r="B1135" t="inlineStr">
        <is>
          <t>Jun 16-30, 2026</t>
        </is>
      </c>
      <c r="C1135" t="inlineStr">
        <is>
          <t>Fast Moving Consumer Goods</t>
        </is>
      </c>
      <c r="D1135" t="n">
        <v>-474</v>
      </c>
      <c r="E1135" t="n">
        <v>0</v>
      </c>
      <c r="F1135" t="n">
        <v>-12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-486</v>
      </c>
    </row>
    <row r="1136">
      <c r="A1136" s="43" t="n">
        <v>46203</v>
      </c>
      <c r="B1136" t="inlineStr">
        <is>
          <t>Jun 16-30, 2026</t>
        </is>
      </c>
      <c r="C1136" t="inlineStr">
        <is>
          <t>Financial Services</t>
        </is>
      </c>
      <c r="D1136" t="n">
        <v>14634</v>
      </c>
      <c r="E1136" t="n">
        <v>452</v>
      </c>
      <c r="F1136" t="n">
        <v>18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15104</v>
      </c>
    </row>
    <row r="1137">
      <c r="A1137" s="43" t="n">
        <v>46203</v>
      </c>
      <c r="B1137" t="inlineStr">
        <is>
          <t>Jun 16-30, 2026</t>
        </is>
      </c>
      <c r="C1137" t="inlineStr">
        <is>
          <t>Forest Materials</t>
        </is>
      </c>
      <c r="D1137" t="n">
        <v>-12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-12</v>
      </c>
    </row>
    <row r="1138">
      <c r="A1138" s="43" t="n">
        <v>46203</v>
      </c>
      <c r="B1138" t="inlineStr">
        <is>
          <t>Jun 16-30, 2026</t>
        </is>
      </c>
      <c r="C1138" t="inlineStr">
        <is>
          <t>Healthcare</t>
        </is>
      </c>
      <c r="D1138" t="n">
        <v>1435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1435</v>
      </c>
    </row>
    <row r="1139">
      <c r="A1139" s="43" t="n">
        <v>46203</v>
      </c>
      <c r="B1139" t="inlineStr">
        <is>
          <t>Jun 16-30, 2026</t>
        </is>
      </c>
      <c r="C1139" t="inlineStr">
        <is>
          <t>Information Technology</t>
        </is>
      </c>
      <c r="D1139" t="n">
        <v>-733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-733</v>
      </c>
    </row>
    <row r="1140">
      <c r="A1140" s="43" t="n">
        <v>46203</v>
      </c>
      <c r="B1140" t="inlineStr">
        <is>
          <t>Jun 16-30, 2026</t>
        </is>
      </c>
      <c r="C1140" t="inlineStr">
        <is>
          <t>Media, Entertainment &amp; Publication</t>
        </is>
      </c>
      <c r="D1140" t="n">
        <v>-127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-127</v>
      </c>
    </row>
    <row r="1141">
      <c r="A1141" s="43" t="n">
        <v>46203</v>
      </c>
      <c r="B1141" t="inlineStr">
        <is>
          <t>Jun 16-30, 2026</t>
        </is>
      </c>
      <c r="C1141" t="inlineStr">
        <is>
          <t>Metals &amp; Mining</t>
        </is>
      </c>
      <c r="D1141" t="n">
        <v>-4371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-4371</v>
      </c>
    </row>
    <row r="1142">
      <c r="A1142" s="43" t="n">
        <v>46203</v>
      </c>
      <c r="B1142" t="inlineStr">
        <is>
          <t>Jun 16-30, 2026</t>
        </is>
      </c>
      <c r="C1142" t="inlineStr">
        <is>
          <t>Oil, Gas &amp; Consumable Fuels</t>
        </is>
      </c>
      <c r="D1142" t="n">
        <v>-2789</v>
      </c>
      <c r="E1142" t="n">
        <v>-5</v>
      </c>
      <c r="F1142" t="n">
        <v>0</v>
      </c>
      <c r="G1142" t="n">
        <v>0</v>
      </c>
      <c r="H1142" t="n">
        <v>-3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-2797</v>
      </c>
    </row>
    <row r="1143">
      <c r="A1143" s="43" t="n">
        <v>46203</v>
      </c>
      <c r="B1143" t="inlineStr">
        <is>
          <t>Jun 16-30, 2026</t>
        </is>
      </c>
      <c r="C1143" t="inlineStr">
        <is>
          <t>Others</t>
        </is>
      </c>
      <c r="D1143" t="n">
        <v>863</v>
      </c>
      <c r="E1143" t="n">
        <v>-582</v>
      </c>
      <c r="F1143" t="n">
        <v>21</v>
      </c>
      <c r="G1143" t="n">
        <v>3</v>
      </c>
      <c r="H1143" t="n">
        <v>10</v>
      </c>
      <c r="I1143" t="n">
        <v>-205</v>
      </c>
      <c r="J1143" t="n">
        <v>-5</v>
      </c>
      <c r="K1143" t="n">
        <v>13</v>
      </c>
      <c r="L1143" t="n">
        <v>0</v>
      </c>
      <c r="M1143" t="n">
        <v>7</v>
      </c>
      <c r="N1143" t="n">
        <v>0</v>
      </c>
      <c r="O1143" t="n">
        <v>125</v>
      </c>
    </row>
    <row r="1144">
      <c r="A1144" s="43" t="n">
        <v>46203</v>
      </c>
      <c r="B1144" t="inlineStr">
        <is>
          <t>Jun 16-30, 2026</t>
        </is>
      </c>
      <c r="C1144" t="inlineStr">
        <is>
          <t>Power</t>
        </is>
      </c>
      <c r="D1144" t="n">
        <v>-3743</v>
      </c>
      <c r="E1144" t="n">
        <v>0</v>
      </c>
      <c r="F1144" t="n">
        <v>0</v>
      </c>
      <c r="G1144" t="n">
        <v>0</v>
      </c>
      <c r="H1144" t="n">
        <v>20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-3723</v>
      </c>
    </row>
    <row r="1145">
      <c r="A1145" s="43" t="n">
        <v>46203</v>
      </c>
      <c r="B1145" t="inlineStr">
        <is>
          <t>Jun 16-30, 2026</t>
        </is>
      </c>
      <c r="C1145" t="inlineStr">
        <is>
          <t>Realty</t>
        </is>
      </c>
      <c r="D1145" t="n">
        <v>1893</v>
      </c>
      <c r="E1145" t="n">
        <v>0</v>
      </c>
      <c r="F1145" t="n">
        <v>0</v>
      </c>
      <c r="G1145" t="n">
        <v>0</v>
      </c>
      <c r="H1145" t="n">
        <v>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1901</v>
      </c>
    </row>
    <row r="1146">
      <c r="A1146" s="43" t="n">
        <v>46203</v>
      </c>
      <c r="B1146" t="inlineStr">
        <is>
          <t>Jun 16-30, 2026</t>
        </is>
      </c>
      <c r="C1146" t="inlineStr">
        <is>
          <t>Services</t>
        </is>
      </c>
      <c r="D1146" t="n">
        <v>2592</v>
      </c>
      <c r="E1146" t="n">
        <v>0</v>
      </c>
      <c r="F1146" t="n">
        <v>0</v>
      </c>
      <c r="G1146" t="n">
        <v>0</v>
      </c>
      <c r="H1146" t="n">
        <v>33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2625</v>
      </c>
    </row>
    <row r="1147">
      <c r="A1147" s="43" t="n">
        <v>46203</v>
      </c>
      <c r="B1147" t="inlineStr">
        <is>
          <t>Jun 16-30, 2026</t>
        </is>
      </c>
      <c r="C1147" t="inlineStr">
        <is>
          <t>Sovereign</t>
        </is>
      </c>
      <c r="D1147" t="n">
        <v>0</v>
      </c>
      <c r="E1147" t="n">
        <v>26922</v>
      </c>
      <c r="F1147" t="n">
        <v>-2</v>
      </c>
      <c r="G1147" t="n">
        <v>6022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32942</v>
      </c>
    </row>
    <row r="1148">
      <c r="A1148" s="43" t="n">
        <v>46203</v>
      </c>
      <c r="B1148" t="inlineStr">
        <is>
          <t>Jun 16-30, 2026</t>
        </is>
      </c>
      <c r="C1148" t="inlineStr">
        <is>
          <t>Telecommunication</t>
        </is>
      </c>
      <c r="D1148" t="n">
        <v>-720</v>
      </c>
      <c r="E1148" t="n">
        <v>0</v>
      </c>
      <c r="F1148" t="n">
        <v>0</v>
      </c>
      <c r="G1148" t="n">
        <v>0</v>
      </c>
      <c r="H1148" t="n">
        <v>-1387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-2107</v>
      </c>
    </row>
    <row r="1149">
      <c r="A1149" s="43" t="n">
        <v>46203</v>
      </c>
      <c r="B1149" t="inlineStr">
        <is>
          <t>Jun 16-30, 2026</t>
        </is>
      </c>
      <c r="C1149" t="inlineStr">
        <is>
          <t>Textiles</t>
        </is>
      </c>
      <c r="D1149" t="n">
        <v>241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241</v>
      </c>
    </row>
    <row r="1150">
      <c r="A1150" s="43" t="n">
        <v>46203</v>
      </c>
      <c r="B1150" t="inlineStr">
        <is>
          <t>Jun 16-30, 2026</t>
        </is>
      </c>
      <c r="C1150" t="inlineStr">
        <is>
          <t>Utilities</t>
        </is>
      </c>
      <c r="D1150" t="n">
        <v>216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216</v>
      </c>
    </row>
    <row r="1151">
      <c r="A1151" s="43" t="n">
        <v>46218</v>
      </c>
      <c r="B1151" t="inlineStr">
        <is>
          <t>Jul 01-15, 2026</t>
        </is>
      </c>
      <c r="C1151" t="inlineStr">
        <is>
          <t>Automobile and Auto Components</t>
        </is>
      </c>
      <c r="D1151" t="n">
        <v>-6936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-6936</v>
      </c>
    </row>
    <row r="1152">
      <c r="A1152" s="43" t="n">
        <v>46218</v>
      </c>
      <c r="B1152" t="inlineStr">
        <is>
          <t>Jul 01-15, 2026</t>
        </is>
      </c>
      <c r="C1152" t="inlineStr">
        <is>
          <t>Capital Goods</t>
        </is>
      </c>
      <c r="D1152" t="n">
        <v>-2657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-2657</v>
      </c>
    </row>
    <row r="1153">
      <c r="A1153" s="43" t="n">
        <v>46218</v>
      </c>
      <c r="B1153" t="inlineStr">
        <is>
          <t>Jul 01-15, 2026</t>
        </is>
      </c>
      <c r="C1153" t="inlineStr">
        <is>
          <t>Chemicals</t>
        </is>
      </c>
      <c r="D1153" t="n">
        <v>-114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-114</v>
      </c>
    </row>
    <row r="1154">
      <c r="A1154" s="43" t="n">
        <v>46218</v>
      </c>
      <c r="B1154" t="inlineStr">
        <is>
          <t>Jul 01-15, 2026</t>
        </is>
      </c>
      <c r="C1154" t="inlineStr">
        <is>
          <t>Construction</t>
        </is>
      </c>
      <c r="D1154" t="n">
        <v>403</v>
      </c>
      <c r="E1154" t="n">
        <v>-1</v>
      </c>
      <c r="F1154" t="n">
        <v>0</v>
      </c>
      <c r="G1154" t="n">
        <v>0</v>
      </c>
      <c r="H1154" t="n">
        <v>-36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366</v>
      </c>
    </row>
    <row r="1155">
      <c r="A1155" s="43" t="n">
        <v>46218</v>
      </c>
      <c r="B1155" t="inlineStr">
        <is>
          <t>Jul 01-15, 2026</t>
        </is>
      </c>
      <c r="C1155" t="inlineStr">
        <is>
          <t>Construction Materials</t>
        </is>
      </c>
      <c r="D1155" t="n">
        <v>1574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1574</v>
      </c>
    </row>
    <row r="1156">
      <c r="A1156" s="43" t="n">
        <v>46218</v>
      </c>
      <c r="B1156" t="inlineStr">
        <is>
          <t>Jul 01-15, 2026</t>
        </is>
      </c>
      <c r="C1156" t="inlineStr">
        <is>
          <t>Consumer Durables</t>
        </is>
      </c>
      <c r="D1156" t="n">
        <v>2384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2384</v>
      </c>
    </row>
    <row r="1157">
      <c r="A1157" s="43" t="n">
        <v>46218</v>
      </c>
      <c r="B1157" t="inlineStr">
        <is>
          <t>Jul 01-15, 2026</t>
        </is>
      </c>
      <c r="C1157" t="inlineStr">
        <is>
          <t>Consumer Services</t>
        </is>
      </c>
      <c r="D1157" t="n">
        <v>7361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7361</v>
      </c>
    </row>
    <row r="1158">
      <c r="A1158" s="43" t="n">
        <v>46218</v>
      </c>
      <c r="B1158" t="inlineStr">
        <is>
          <t>Jul 01-15, 2026</t>
        </is>
      </c>
      <c r="C1158" t="inlineStr">
        <is>
          <t>Diversified</t>
        </is>
      </c>
      <c r="D1158" t="n">
        <v>29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29</v>
      </c>
    </row>
    <row r="1159">
      <c r="A1159" s="43" t="n">
        <v>46218</v>
      </c>
      <c r="B1159" t="inlineStr">
        <is>
          <t>Jul 01-15, 2026</t>
        </is>
      </c>
      <c r="C1159" t="inlineStr">
        <is>
          <t>Fast Moving Consumer Goods</t>
        </is>
      </c>
      <c r="D1159" t="n">
        <v>-1106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-1106</v>
      </c>
    </row>
    <row r="1160">
      <c r="A1160" s="43" t="n">
        <v>46218</v>
      </c>
      <c r="B1160" t="inlineStr">
        <is>
          <t>Jul 01-15, 2026</t>
        </is>
      </c>
      <c r="C1160" t="inlineStr">
        <is>
          <t>Financial Services</t>
        </is>
      </c>
      <c r="D1160" t="n">
        <v>1975</v>
      </c>
      <c r="E1160" t="n">
        <v>986</v>
      </c>
      <c r="F1160" t="n">
        <v>-504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5</v>
      </c>
      <c r="N1160" t="n">
        <v>0</v>
      </c>
      <c r="O1160" t="n">
        <v>2462</v>
      </c>
    </row>
    <row r="1161">
      <c r="A1161" s="43" t="n">
        <v>46218</v>
      </c>
      <c r="B1161" t="inlineStr">
        <is>
          <t>Jul 01-15, 2026</t>
        </is>
      </c>
      <c r="C1161" t="inlineStr">
        <is>
          <t>Forest Materials</t>
        </is>
      </c>
      <c r="D1161" t="n">
        <v>-11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-11</v>
      </c>
    </row>
    <row r="1162">
      <c r="A1162" s="43" t="n">
        <v>46218</v>
      </c>
      <c r="B1162" t="inlineStr">
        <is>
          <t>Jul 01-15, 2026</t>
        </is>
      </c>
      <c r="C1162" t="inlineStr">
        <is>
          <t>Healthcare</t>
        </is>
      </c>
      <c r="D1162" t="n">
        <v>4101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4101</v>
      </c>
    </row>
    <row r="1163">
      <c r="A1163" s="43" t="n">
        <v>46218</v>
      </c>
      <c r="B1163" t="inlineStr">
        <is>
          <t>Jul 01-15, 2026</t>
        </is>
      </c>
      <c r="C1163" t="inlineStr">
        <is>
          <t>Information Technology</t>
        </is>
      </c>
      <c r="D1163" t="n">
        <v>60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60</v>
      </c>
    </row>
    <row r="1164">
      <c r="A1164" s="43" t="n">
        <v>46218</v>
      </c>
      <c r="B1164" t="inlineStr">
        <is>
          <t>Jul 01-15, 2026</t>
        </is>
      </c>
      <c r="C1164" t="inlineStr">
        <is>
          <t>Media, Entertainment &amp; Publication</t>
        </is>
      </c>
      <c r="D1164" t="n">
        <v>-289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-289</v>
      </c>
    </row>
    <row r="1165">
      <c r="A1165" s="43" t="n">
        <v>46218</v>
      </c>
      <c r="B1165" t="inlineStr">
        <is>
          <t>Jul 01-15, 2026</t>
        </is>
      </c>
      <c r="C1165" t="inlineStr">
        <is>
          <t>Metals &amp; Mining</t>
        </is>
      </c>
      <c r="D1165" t="n">
        <v>5993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5993</v>
      </c>
    </row>
    <row r="1166">
      <c r="A1166" s="43" t="n">
        <v>46218</v>
      </c>
      <c r="B1166" t="inlineStr">
        <is>
          <t>Jul 01-15, 2026</t>
        </is>
      </c>
      <c r="C1166" t="inlineStr">
        <is>
          <t>Oil, Gas &amp; Consumable Fuels</t>
        </is>
      </c>
      <c r="D1166" t="n">
        <v>258</v>
      </c>
      <c r="E1166" t="n">
        <v>-31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228</v>
      </c>
    </row>
    <row r="1167">
      <c r="A1167" s="43" t="n">
        <v>46218</v>
      </c>
      <c r="B1167" t="inlineStr">
        <is>
          <t>Jul 01-15, 2026</t>
        </is>
      </c>
      <c r="C1167" t="inlineStr">
        <is>
          <t>Others</t>
        </is>
      </c>
      <c r="D1167" t="n">
        <v>1412</v>
      </c>
      <c r="E1167" t="n">
        <v>-405</v>
      </c>
      <c r="F1167" t="n">
        <v>-1577</v>
      </c>
      <c r="G1167" t="n">
        <v>0</v>
      </c>
      <c r="H1167" t="n">
        <v>0</v>
      </c>
      <c r="I1167" t="n">
        <v>29</v>
      </c>
      <c r="J1167" t="n">
        <v>22</v>
      </c>
      <c r="K1167" t="n">
        <v>9</v>
      </c>
      <c r="L1167" t="n">
        <v>0</v>
      </c>
      <c r="M1167" t="n">
        <v>826</v>
      </c>
      <c r="N1167" t="n">
        <v>0</v>
      </c>
      <c r="O1167" t="n">
        <v>316</v>
      </c>
    </row>
    <row r="1168">
      <c r="A1168" s="43" t="n">
        <v>46218</v>
      </c>
      <c r="B1168" t="inlineStr">
        <is>
          <t>Jul 01-15, 2026</t>
        </is>
      </c>
      <c r="C1168" t="inlineStr">
        <is>
          <t>Power</t>
        </is>
      </c>
      <c r="D1168" t="n">
        <v>-1267</v>
      </c>
      <c r="E1168" t="n">
        <v>-54</v>
      </c>
      <c r="F1168" t="n">
        <v>0</v>
      </c>
      <c r="G1168" t="n">
        <v>0</v>
      </c>
      <c r="H1168" t="n">
        <v>17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-1304</v>
      </c>
    </row>
    <row r="1169">
      <c r="A1169" s="43" t="n">
        <v>46218</v>
      </c>
      <c r="B1169" t="inlineStr">
        <is>
          <t>Jul 01-15, 2026</t>
        </is>
      </c>
      <c r="C1169" t="inlineStr">
        <is>
          <t>Realty</t>
        </is>
      </c>
      <c r="D1169" t="n">
        <v>2072</v>
      </c>
      <c r="E1169" t="n">
        <v>0</v>
      </c>
      <c r="F1169" t="n">
        <v>-33</v>
      </c>
      <c r="G1169" t="n">
        <v>0</v>
      </c>
      <c r="H1169" t="n">
        <v>153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2192</v>
      </c>
    </row>
    <row r="1170">
      <c r="A1170" s="43" t="n">
        <v>46218</v>
      </c>
      <c r="B1170" t="inlineStr">
        <is>
          <t>Jul 01-15, 2026</t>
        </is>
      </c>
      <c r="C1170" t="inlineStr">
        <is>
          <t>Services</t>
        </is>
      </c>
      <c r="D1170" t="n">
        <v>2405</v>
      </c>
      <c r="E1170" t="n">
        <v>-2</v>
      </c>
      <c r="F1170" t="n">
        <v>0</v>
      </c>
      <c r="G1170" t="n">
        <v>0</v>
      </c>
      <c r="H1170" t="n">
        <v>-50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2353</v>
      </c>
    </row>
    <row r="1171">
      <c r="A1171" s="43" t="n">
        <v>46218</v>
      </c>
      <c r="B1171" t="inlineStr">
        <is>
          <t>Jul 01-15, 2026</t>
        </is>
      </c>
      <c r="C1171" t="inlineStr">
        <is>
          <t>Sovereign</t>
        </is>
      </c>
      <c r="D1171" t="n">
        <v>0</v>
      </c>
      <c r="E1171" t="n">
        <v>3454</v>
      </c>
      <c r="F1171" t="n">
        <v>0</v>
      </c>
      <c r="G1171" t="n">
        <v>7234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10688</v>
      </c>
    </row>
    <row r="1172">
      <c r="A1172" s="43" t="n">
        <v>46218</v>
      </c>
      <c r="B1172" t="inlineStr">
        <is>
          <t>Jul 01-15, 2026</t>
        </is>
      </c>
      <c r="C1172" t="inlineStr">
        <is>
          <t>Telecommunication</t>
        </is>
      </c>
      <c r="D1172" t="n">
        <v>-2454</v>
      </c>
      <c r="E1172" t="n">
        <v>0</v>
      </c>
      <c r="F1172" t="n">
        <v>0</v>
      </c>
      <c r="G1172" t="n">
        <v>0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-2452</v>
      </c>
    </row>
    <row r="1173">
      <c r="A1173" s="43" t="n">
        <v>46218</v>
      </c>
      <c r="B1173" t="inlineStr">
        <is>
          <t>Jul 01-15, 2026</t>
        </is>
      </c>
      <c r="C1173" t="inlineStr">
        <is>
          <t>Textiles</t>
        </is>
      </c>
      <c r="D1173" t="n">
        <v>248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248</v>
      </c>
    </row>
    <row r="1174">
      <c r="A1174" s="43" t="n">
        <v>46218</v>
      </c>
      <c r="B1174" t="inlineStr">
        <is>
          <t>Jul 01-15, 2026</t>
        </is>
      </c>
      <c r="C1174" t="inlineStr">
        <is>
          <t>Utilities</t>
        </is>
      </c>
      <c r="D1174" t="n">
        <v>119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119</v>
      </c>
    </row>
    <row r="1175">
      <c r="A1175" s="43" t="n">
        <v>46234</v>
      </c>
      <c r="B1175" t="inlineStr">
        <is>
          <t>Jul 16-31, 2026</t>
        </is>
      </c>
      <c r="C1175" t="inlineStr">
        <is>
          <t>Automobile and Auto Components</t>
        </is>
      </c>
      <c r="D1175" t="n">
        <v>2372</v>
      </c>
      <c r="E1175" t="n">
        <v>-10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2362</v>
      </c>
    </row>
    <row r="1176">
      <c r="A1176" s="43" t="n">
        <v>46234</v>
      </c>
      <c r="B1176" t="inlineStr">
        <is>
          <t>Jul 16-31, 2026</t>
        </is>
      </c>
      <c r="C1176" t="inlineStr">
        <is>
          <t>Capital Goods</t>
        </is>
      </c>
      <c r="D1176" t="n">
        <v>-3618</v>
      </c>
      <c r="E1176" t="n">
        <v>-1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-3619</v>
      </c>
    </row>
    <row r="1177">
      <c r="A1177" s="43" t="n">
        <v>46234</v>
      </c>
      <c r="B1177" t="inlineStr">
        <is>
          <t>Jul 16-31, 2026</t>
        </is>
      </c>
      <c r="C1177" t="inlineStr">
        <is>
          <t>Chemicals</t>
        </is>
      </c>
      <c r="D1177" t="n">
        <v>532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532</v>
      </c>
    </row>
    <row r="1178">
      <c r="A1178" s="43" t="n">
        <v>46234</v>
      </c>
      <c r="B1178" t="inlineStr">
        <is>
          <t>Jul 16-31, 2026</t>
        </is>
      </c>
      <c r="C1178" t="inlineStr">
        <is>
          <t>Construction</t>
        </is>
      </c>
      <c r="D1178" t="n">
        <v>-1602</v>
      </c>
      <c r="E1178" t="n">
        <v>-64</v>
      </c>
      <c r="F1178" t="n">
        <v>0</v>
      </c>
      <c r="G1178" t="n">
        <v>0</v>
      </c>
      <c r="H1178" t="n">
        <v>-34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-1700</v>
      </c>
    </row>
    <row r="1179">
      <c r="A1179" s="43" t="n">
        <v>46234</v>
      </c>
      <c r="B1179" t="inlineStr">
        <is>
          <t>Jul 16-31, 2026</t>
        </is>
      </c>
      <c r="C1179" t="inlineStr">
        <is>
          <t>Construction Materials</t>
        </is>
      </c>
      <c r="D1179" t="n">
        <v>871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871</v>
      </c>
    </row>
    <row r="1180">
      <c r="A1180" s="43" t="n">
        <v>46234</v>
      </c>
      <c r="B1180" t="inlineStr">
        <is>
          <t>Jul 16-31, 2026</t>
        </is>
      </c>
      <c r="C1180" t="inlineStr">
        <is>
          <t>Consumer Durables</t>
        </is>
      </c>
      <c r="D1180" t="n">
        <v>4958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4958</v>
      </c>
    </row>
    <row r="1181">
      <c r="A1181" s="43" t="n">
        <v>46234</v>
      </c>
      <c r="B1181" t="inlineStr">
        <is>
          <t>Jul 16-31, 2026</t>
        </is>
      </c>
      <c r="C1181" t="inlineStr">
        <is>
          <t>Consumer Services</t>
        </is>
      </c>
      <c r="D1181" t="n">
        <v>2840</v>
      </c>
      <c r="E1181" t="n">
        <v>-10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2830</v>
      </c>
    </row>
    <row r="1182">
      <c r="A1182" s="43" t="n">
        <v>46234</v>
      </c>
      <c r="B1182" t="inlineStr">
        <is>
          <t>Jul 16-31, 2026</t>
        </is>
      </c>
      <c r="C1182" t="inlineStr">
        <is>
          <t>Diversified</t>
        </is>
      </c>
      <c r="D1182" t="n">
        <v>-1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-1</v>
      </c>
    </row>
    <row r="1183">
      <c r="A1183" s="43" t="n">
        <v>46234</v>
      </c>
      <c r="B1183" t="inlineStr">
        <is>
          <t>Jul 16-31, 2026</t>
        </is>
      </c>
      <c r="C1183" t="inlineStr">
        <is>
          <t>Fast Moving Consumer Goods</t>
        </is>
      </c>
      <c r="D1183" t="n">
        <v>478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478</v>
      </c>
    </row>
    <row r="1184">
      <c r="A1184" s="43" t="n">
        <v>46234</v>
      </c>
      <c r="B1184" t="inlineStr">
        <is>
          <t>Jul 16-31, 2026</t>
        </is>
      </c>
      <c r="C1184" t="inlineStr">
        <is>
          <t>Financial Services</t>
        </is>
      </c>
      <c r="D1184" t="n">
        <v>-2669</v>
      </c>
      <c r="E1184" t="n">
        <v>-300</v>
      </c>
      <c r="F1184" t="n">
        <v>-793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-3763</v>
      </c>
    </row>
    <row r="1185">
      <c r="A1185" s="43" t="n">
        <v>46234</v>
      </c>
      <c r="B1185" t="inlineStr">
        <is>
          <t>Jul 16-31, 2026</t>
        </is>
      </c>
      <c r="C1185" t="inlineStr">
        <is>
          <t>Forest Materials</t>
        </is>
      </c>
      <c r="D1185" t="n">
        <v>40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40</v>
      </c>
    </row>
    <row r="1186">
      <c r="A1186" s="43" t="n">
        <v>46234</v>
      </c>
      <c r="B1186" t="inlineStr">
        <is>
          <t>Jul 16-31, 2026</t>
        </is>
      </c>
      <c r="C1186" t="inlineStr">
        <is>
          <t>Healthcare</t>
        </is>
      </c>
      <c r="D1186" t="n">
        <v>3654</v>
      </c>
      <c r="E1186" t="n">
        <v>-24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3630</v>
      </c>
    </row>
    <row r="1187">
      <c r="A1187" s="43" t="n">
        <v>46234</v>
      </c>
      <c r="B1187" t="inlineStr">
        <is>
          <t>Jul 16-31, 2026</t>
        </is>
      </c>
      <c r="C1187" t="inlineStr">
        <is>
          <t>Information Technology</t>
        </is>
      </c>
      <c r="D1187" t="n">
        <v>3298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3298</v>
      </c>
    </row>
    <row r="1188">
      <c r="A1188" s="43" t="n">
        <v>46234</v>
      </c>
      <c r="B1188" t="inlineStr">
        <is>
          <t>Jul 16-31, 2026</t>
        </is>
      </c>
      <c r="C1188" t="inlineStr">
        <is>
          <t>Media, Entertainment &amp; Publication</t>
        </is>
      </c>
      <c r="D1188" t="n">
        <v>24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24</v>
      </c>
    </row>
    <row r="1189">
      <c r="A1189" s="43" t="n">
        <v>46234</v>
      </c>
      <c r="B1189" t="inlineStr">
        <is>
          <t>Jul 16-31, 2026</t>
        </is>
      </c>
      <c r="C1189" t="inlineStr">
        <is>
          <t>Metals &amp; Mining</t>
        </is>
      </c>
      <c r="D1189" t="n">
        <v>-1056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-1056</v>
      </c>
    </row>
    <row r="1190">
      <c r="A1190" s="43" t="n">
        <v>46234</v>
      </c>
      <c r="B1190" t="inlineStr">
        <is>
          <t>Jul 16-31, 2026</t>
        </is>
      </c>
      <c r="C1190" t="inlineStr">
        <is>
          <t>Oil, Gas &amp; Consumable Fuels</t>
        </is>
      </c>
      <c r="D1190" t="n">
        <v>-513</v>
      </c>
      <c r="E1190" t="n">
        <v>0</v>
      </c>
      <c r="F1190" t="n">
        <v>0</v>
      </c>
      <c r="G1190" t="n">
        <v>0</v>
      </c>
      <c r="H1190" t="n">
        <v>-1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-514</v>
      </c>
    </row>
    <row r="1191">
      <c r="A1191" s="43" t="n">
        <v>46234</v>
      </c>
      <c r="B1191" t="inlineStr">
        <is>
          <t>Jul 16-31, 2026</t>
        </is>
      </c>
      <c r="C1191" t="inlineStr">
        <is>
          <t>Others</t>
        </is>
      </c>
      <c r="D1191" t="n">
        <v>138</v>
      </c>
      <c r="E1191" t="n">
        <v>17935</v>
      </c>
      <c r="F1191" t="n">
        <v>-10177</v>
      </c>
      <c r="G1191" t="n">
        <v>0</v>
      </c>
      <c r="H1191" t="n">
        <v>299</v>
      </c>
      <c r="I1191" t="n">
        <v>32</v>
      </c>
      <c r="J1191" t="n">
        <v>0</v>
      </c>
      <c r="K1191" t="n">
        <v>-44</v>
      </c>
      <c r="L1191" t="n">
        <v>0</v>
      </c>
      <c r="M1191" t="n">
        <v>121</v>
      </c>
      <c r="N1191" t="n">
        <v>4</v>
      </c>
      <c r="O1191" t="n">
        <v>8308</v>
      </c>
    </row>
    <row r="1192">
      <c r="A1192" s="43" t="n">
        <v>46234</v>
      </c>
      <c r="B1192" t="inlineStr">
        <is>
          <t>Jul 16-31, 2026</t>
        </is>
      </c>
      <c r="C1192" t="inlineStr">
        <is>
          <t>Power</t>
        </is>
      </c>
      <c r="D1192" t="n">
        <v>-1596</v>
      </c>
      <c r="E1192" t="n">
        <v>-85</v>
      </c>
      <c r="F1192" t="n">
        <v>0</v>
      </c>
      <c r="G1192" t="n">
        <v>0</v>
      </c>
      <c r="H1192" t="n">
        <v>16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-1665</v>
      </c>
    </row>
    <row r="1193">
      <c r="A1193" s="43" t="n">
        <v>46234</v>
      </c>
      <c r="B1193" t="inlineStr">
        <is>
          <t>Jul 16-31, 2026</t>
        </is>
      </c>
      <c r="C1193" t="inlineStr">
        <is>
          <t>Realty</t>
        </is>
      </c>
      <c r="D1193" t="n">
        <v>-279</v>
      </c>
      <c r="E1193" t="n">
        <v>-123</v>
      </c>
      <c r="F1193" t="n">
        <v>0</v>
      </c>
      <c r="G1193" t="n">
        <v>0</v>
      </c>
      <c r="H1193" t="n">
        <v>-180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-582</v>
      </c>
    </row>
    <row r="1194">
      <c r="A1194" s="43" t="n">
        <v>46234</v>
      </c>
      <c r="B1194" t="inlineStr">
        <is>
          <t>Jul 16-31, 2026</t>
        </is>
      </c>
      <c r="C1194" t="inlineStr">
        <is>
          <t>Services</t>
        </is>
      </c>
      <c r="D1194" t="n">
        <v>-1</v>
      </c>
      <c r="E1194" t="n">
        <v>-9</v>
      </c>
      <c r="F1194" t="n">
        <v>0</v>
      </c>
      <c r="G1194" t="n">
        <v>0</v>
      </c>
      <c r="H1194" t="n">
        <v>-20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-30</v>
      </c>
    </row>
    <row r="1195">
      <c r="A1195" s="43" t="n">
        <v>46234</v>
      </c>
      <c r="B1195" t="inlineStr">
        <is>
          <t>Jul 16-31, 2026</t>
        </is>
      </c>
      <c r="C1195" t="inlineStr">
        <is>
          <t>Sovereign</t>
        </is>
      </c>
      <c r="D1195" t="n">
        <v>0</v>
      </c>
      <c r="E1195" t="n">
        <v>7987</v>
      </c>
      <c r="F1195" t="n">
        <v>-500</v>
      </c>
      <c r="G1195" t="n">
        <v>-4201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3286</v>
      </c>
    </row>
    <row r="1196">
      <c r="A1196" s="43" t="n">
        <v>46234</v>
      </c>
      <c r="B1196" t="inlineStr">
        <is>
          <t>Jul 16-31, 2026</t>
        </is>
      </c>
      <c r="C1196" t="inlineStr">
        <is>
          <t>Telecommunication</t>
        </is>
      </c>
      <c r="D1196" t="n">
        <v>-3271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-3271</v>
      </c>
    </row>
    <row r="1197">
      <c r="A1197" s="43" t="n">
        <v>46234</v>
      </c>
      <c r="B1197" t="inlineStr">
        <is>
          <t>Jul 16-31, 2026</t>
        </is>
      </c>
      <c r="C1197" t="inlineStr">
        <is>
          <t>Textiles</t>
        </is>
      </c>
      <c r="D1197" t="n">
        <v>206</v>
      </c>
      <c r="E1197" t="n">
        <v>-29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177</v>
      </c>
    </row>
    <row r="1198">
      <c r="A1198" s="43" t="n">
        <v>46234</v>
      </c>
      <c r="B1198" t="inlineStr">
        <is>
          <t>Jul 16-31, 2026</t>
        </is>
      </c>
      <c r="C1198" t="inlineStr">
        <is>
          <t>Utilities</t>
        </is>
      </c>
      <c r="D1198" t="n">
        <v>-163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-163</v>
      </c>
    </row>
    <row r="1199">
      <c r="A1199" s="43" t="n">
        <v>46249</v>
      </c>
      <c r="B1199" t="inlineStr">
        <is>
          <t>Aug 01-15, 2026</t>
        </is>
      </c>
      <c r="C1199" t="inlineStr">
        <is>
          <t>Automobile and Auto Components</t>
        </is>
      </c>
      <c r="D1199" t="n">
        <v>4405</v>
      </c>
      <c r="E1199" t="n">
        <v>-12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4393</v>
      </c>
    </row>
    <row r="1200">
      <c r="A1200" s="43" t="n">
        <v>46249</v>
      </c>
      <c r="B1200" t="inlineStr">
        <is>
          <t>Aug 01-15, 2026</t>
        </is>
      </c>
      <c r="C1200" t="inlineStr">
        <is>
          <t>Capital Goods</t>
        </is>
      </c>
      <c r="D1200" t="n">
        <v>-1556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-1556</v>
      </c>
    </row>
    <row r="1201">
      <c r="A1201" s="43" t="n">
        <v>46249</v>
      </c>
      <c r="B1201" t="inlineStr">
        <is>
          <t>Aug 01-15, 2026</t>
        </is>
      </c>
      <c r="C1201" t="inlineStr">
        <is>
          <t>Chemicals</t>
        </is>
      </c>
      <c r="D1201" t="n">
        <v>315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315</v>
      </c>
    </row>
    <row r="1202">
      <c r="A1202" s="43" t="n">
        <v>46249</v>
      </c>
      <c r="B1202" t="inlineStr">
        <is>
          <t>Aug 01-15, 2026</t>
        </is>
      </c>
      <c r="C1202" t="inlineStr">
        <is>
          <t>Construction</t>
        </is>
      </c>
      <c r="D1202" t="n">
        <v>-404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-404</v>
      </c>
    </row>
    <row r="1203">
      <c r="A1203" s="43" t="n">
        <v>46249</v>
      </c>
      <c r="B1203" t="inlineStr">
        <is>
          <t>Aug 01-15, 2026</t>
        </is>
      </c>
      <c r="C1203" t="inlineStr">
        <is>
          <t>Construction Materials</t>
        </is>
      </c>
      <c r="D1203" t="n">
        <v>384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384</v>
      </c>
    </row>
    <row r="1204">
      <c r="A1204" s="43" t="n">
        <v>46249</v>
      </c>
      <c r="B1204" t="inlineStr">
        <is>
          <t>Aug 01-15, 2026</t>
        </is>
      </c>
      <c r="C1204" t="inlineStr">
        <is>
          <t>Consumer Durables</t>
        </is>
      </c>
      <c r="D1204" t="n">
        <v>1472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1472</v>
      </c>
    </row>
    <row r="1205">
      <c r="A1205" s="43" t="n">
        <v>46249</v>
      </c>
      <c r="B1205" t="inlineStr">
        <is>
          <t>Aug 01-15, 2026</t>
        </is>
      </c>
      <c r="C1205" t="inlineStr">
        <is>
          <t>Consumer Services</t>
        </is>
      </c>
      <c r="D1205" t="n">
        <v>3398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3398</v>
      </c>
    </row>
    <row r="1206">
      <c r="A1206" s="43" t="n">
        <v>46249</v>
      </c>
      <c r="B1206" t="inlineStr">
        <is>
          <t>Aug 01-15, 2026</t>
        </is>
      </c>
      <c r="C1206" t="inlineStr">
        <is>
          <t>Diversified</t>
        </is>
      </c>
      <c r="D1206" t="n">
        <v>-18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-18</v>
      </c>
    </row>
    <row r="1207">
      <c r="A1207" s="43" t="n">
        <v>46249</v>
      </c>
      <c r="B1207" t="inlineStr">
        <is>
          <t>Aug 01-15, 2026</t>
        </is>
      </c>
      <c r="C1207" t="inlineStr">
        <is>
          <t>Fast Moving Consumer Goods</t>
        </is>
      </c>
      <c r="D1207" t="n">
        <v>-189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-189</v>
      </c>
    </row>
    <row r="1208">
      <c r="A1208" s="43" t="n">
        <v>46249</v>
      </c>
      <c r="B1208" t="inlineStr">
        <is>
          <t>Aug 01-15, 2026</t>
        </is>
      </c>
      <c r="C1208" t="inlineStr">
        <is>
          <t>Financial Services</t>
        </is>
      </c>
      <c r="D1208" t="n">
        <v>6535</v>
      </c>
      <c r="E1208" t="n">
        <v>337</v>
      </c>
      <c r="F1208" t="n">
        <v>84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-6</v>
      </c>
      <c r="N1208" t="n">
        <v>0</v>
      </c>
      <c r="O1208" t="n">
        <v>6950</v>
      </c>
    </row>
    <row r="1209">
      <c r="A1209" s="43" t="n">
        <v>46249</v>
      </c>
      <c r="B1209" t="inlineStr">
        <is>
          <t>Aug 01-15, 2026</t>
        </is>
      </c>
      <c r="C1209" t="inlineStr">
        <is>
          <t>Forest Materials</t>
        </is>
      </c>
      <c r="D1209" t="n">
        <v>-9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-9</v>
      </c>
    </row>
    <row r="1210">
      <c r="A1210" s="43" t="n">
        <v>46249</v>
      </c>
      <c r="B1210" t="inlineStr">
        <is>
          <t>Aug 01-15, 2026</t>
        </is>
      </c>
      <c r="C1210" t="inlineStr">
        <is>
          <t>Healthcare</t>
        </is>
      </c>
      <c r="D1210" t="n">
        <v>2910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2910</v>
      </c>
    </row>
    <row r="1211">
      <c r="A1211" s="43" t="n">
        <v>46249</v>
      </c>
      <c r="B1211" t="inlineStr">
        <is>
          <t>Aug 01-15, 2026</t>
        </is>
      </c>
      <c r="C1211" t="inlineStr">
        <is>
          <t>Information Technology</t>
        </is>
      </c>
      <c r="D1211" t="n">
        <v>2530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2530</v>
      </c>
    </row>
    <row r="1212">
      <c r="A1212" s="43" t="n">
        <v>46249</v>
      </c>
      <c r="B1212" t="inlineStr">
        <is>
          <t>Aug 01-15, 2026</t>
        </is>
      </c>
      <c r="C1212" t="inlineStr">
        <is>
          <t>Media, Entertainment &amp; Publication</t>
        </is>
      </c>
      <c r="D1212" t="n">
        <v>-6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-6</v>
      </c>
    </row>
    <row r="1213">
      <c r="A1213" s="43" t="n">
        <v>46249</v>
      </c>
      <c r="B1213" t="inlineStr">
        <is>
          <t>Aug 01-15, 2026</t>
        </is>
      </c>
      <c r="C1213" t="inlineStr">
        <is>
          <t>Metals &amp; Mining</t>
        </is>
      </c>
      <c r="D1213" t="n">
        <v>720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720</v>
      </c>
    </row>
    <row r="1214">
      <c r="A1214" s="43" t="n">
        <v>46249</v>
      </c>
      <c r="B1214" t="inlineStr">
        <is>
          <t>Aug 01-15, 2026</t>
        </is>
      </c>
      <c r="C1214" t="inlineStr">
        <is>
          <t>Oil, Gas &amp; Consumable Fuels</t>
        </is>
      </c>
      <c r="D1214" t="n">
        <v>490</v>
      </c>
      <c r="E1214" t="n">
        <v>0</v>
      </c>
      <c r="F1214" t="n">
        <v>0</v>
      </c>
      <c r="G1214" t="n">
        <v>0</v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492</v>
      </c>
    </row>
    <row r="1215">
      <c r="A1215" s="43" t="n">
        <v>46249</v>
      </c>
      <c r="B1215" t="inlineStr">
        <is>
          <t>Aug 01-15, 2026</t>
        </is>
      </c>
      <c r="C1215" t="inlineStr">
        <is>
          <t>Others</t>
        </is>
      </c>
      <c r="D1215" t="n">
        <v>543</v>
      </c>
      <c r="E1215" t="n">
        <v>-512</v>
      </c>
      <c r="F1215" t="n">
        <v>-799</v>
      </c>
      <c r="G1215" t="n">
        <v>0</v>
      </c>
      <c r="H1215" t="n">
        <v>0</v>
      </c>
      <c r="I1215" t="n">
        <v>71</v>
      </c>
      <c r="J1215" t="n">
        <v>22</v>
      </c>
      <c r="K1215" t="n">
        <v>-2</v>
      </c>
      <c r="L1215" t="n">
        <v>0</v>
      </c>
      <c r="M1215" t="n">
        <v>-26</v>
      </c>
      <c r="N1215" t="n">
        <v>0</v>
      </c>
      <c r="O1215" t="n">
        <v>-703</v>
      </c>
    </row>
    <row r="1216">
      <c r="A1216" s="43" t="n">
        <v>46249</v>
      </c>
      <c r="B1216" t="inlineStr">
        <is>
          <t>Aug 01-15, 2026</t>
        </is>
      </c>
      <c r="C1216" t="inlineStr">
        <is>
          <t>Power</t>
        </is>
      </c>
      <c r="D1216" t="n">
        <v>-1164</v>
      </c>
      <c r="E1216" t="n">
        <v>-25</v>
      </c>
      <c r="F1216" t="n">
        <v>-600</v>
      </c>
      <c r="G1216" t="n">
        <v>0</v>
      </c>
      <c r="H1216" t="n">
        <v>-427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-2216</v>
      </c>
    </row>
    <row r="1217">
      <c r="A1217" s="43" t="n">
        <v>46249</v>
      </c>
      <c r="B1217" t="inlineStr">
        <is>
          <t>Aug 01-15, 2026</t>
        </is>
      </c>
      <c r="C1217" t="inlineStr">
        <is>
          <t>Realty</t>
        </is>
      </c>
      <c r="D1217" t="n">
        <v>-1014</v>
      </c>
      <c r="E1217" t="n">
        <v>0</v>
      </c>
      <c r="F1217" t="n">
        <v>-33</v>
      </c>
      <c r="G1217" t="n">
        <v>0</v>
      </c>
      <c r="H1217" t="n">
        <v>-159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-1206</v>
      </c>
    </row>
    <row r="1218">
      <c r="A1218" s="43" t="n">
        <v>46249</v>
      </c>
      <c r="B1218" t="inlineStr">
        <is>
          <t>Aug 01-15, 2026</t>
        </is>
      </c>
      <c r="C1218" t="inlineStr">
        <is>
          <t>Services</t>
        </is>
      </c>
      <c r="D1218" t="n">
        <v>590</v>
      </c>
      <c r="E1218" t="n">
        <v>0</v>
      </c>
      <c r="F1218" t="n">
        <v>0</v>
      </c>
      <c r="G1218" t="n">
        <v>0</v>
      </c>
      <c r="H1218" t="n">
        <v>-64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526</v>
      </c>
    </row>
    <row r="1219">
      <c r="A1219" s="43" t="n">
        <v>46249</v>
      </c>
      <c r="B1219" t="inlineStr">
        <is>
          <t>Aug 01-15, 2026</t>
        </is>
      </c>
      <c r="C1219" t="inlineStr">
        <is>
          <t>Sovereign</t>
        </is>
      </c>
      <c r="D1219" t="n">
        <v>0</v>
      </c>
      <c r="E1219" t="n">
        <v>281</v>
      </c>
      <c r="F1219" t="n">
        <v>-33</v>
      </c>
      <c r="G1219" t="n">
        <v>972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1220</v>
      </c>
    </row>
    <row r="1220">
      <c r="A1220" s="43" t="n">
        <v>46249</v>
      </c>
      <c r="B1220" t="inlineStr">
        <is>
          <t>Aug 01-15, 2026</t>
        </is>
      </c>
      <c r="C1220" t="inlineStr">
        <is>
          <t>Telecommunication</t>
        </is>
      </c>
      <c r="D1220" t="n">
        <v>-3322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-3322</v>
      </c>
    </row>
    <row r="1221">
      <c r="A1221" s="43" t="n">
        <v>46249</v>
      </c>
      <c r="B1221" t="inlineStr">
        <is>
          <t>Aug 01-15, 2026</t>
        </is>
      </c>
      <c r="C1221" t="inlineStr">
        <is>
          <t>Textiles</t>
        </is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s="43" t="n">
        <v>46249</v>
      </c>
      <c r="B1222" t="inlineStr">
        <is>
          <t>Aug 01-15, 2026</t>
        </is>
      </c>
      <c r="C1222" t="inlineStr">
        <is>
          <t>Utilities</t>
        </is>
      </c>
      <c r="D1222" t="n">
        <v>7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7</v>
      </c>
    </row>
    <row r="1223">
      <c r="A1223" s="43" t="n">
        <v>46265</v>
      </c>
      <c r="B1223" t="inlineStr">
        <is>
          <t>Aug 16-31, 2026</t>
        </is>
      </c>
      <c r="C1223" t="inlineStr">
        <is>
          <t>Automobile and Auto Components</t>
        </is>
      </c>
      <c r="D1223" t="n">
        <v>-1299</v>
      </c>
      <c r="E1223" t="n">
        <v>-3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-1302</v>
      </c>
    </row>
    <row r="1224">
      <c r="A1224" s="43" t="n">
        <v>46265</v>
      </c>
      <c r="B1224" t="inlineStr">
        <is>
          <t>Aug 16-31, 2026</t>
        </is>
      </c>
      <c r="C1224" t="inlineStr">
        <is>
          <t>Capital Goods</t>
        </is>
      </c>
      <c r="D1224" t="n">
        <v>2162</v>
      </c>
      <c r="E1224" t="n">
        <v>-5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2157</v>
      </c>
    </row>
    <row r="1225">
      <c r="A1225" s="43" t="n">
        <v>46265</v>
      </c>
      <c r="B1225" t="inlineStr">
        <is>
          <t>Aug 16-31, 2026</t>
        </is>
      </c>
      <c r="C1225" t="inlineStr">
        <is>
          <t>Chemicals</t>
        </is>
      </c>
      <c r="D1225" t="n">
        <v>543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543</v>
      </c>
    </row>
    <row r="1226">
      <c r="A1226" s="43" t="n">
        <v>46265</v>
      </c>
      <c r="B1226" t="inlineStr">
        <is>
          <t>Aug 16-31, 2026</t>
        </is>
      </c>
      <c r="C1226" t="inlineStr">
        <is>
          <t>Construction</t>
        </is>
      </c>
      <c r="D1226" t="n">
        <v>442</v>
      </c>
      <c r="E1226" t="n">
        <v>0</v>
      </c>
      <c r="F1226" t="n">
        <v>0</v>
      </c>
      <c r="G1226" t="n">
        <v>0</v>
      </c>
      <c r="H1226" t="n">
        <v>-1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441</v>
      </c>
    </row>
    <row r="1227">
      <c r="A1227" s="43" t="n">
        <v>46265</v>
      </c>
      <c r="B1227" t="inlineStr">
        <is>
          <t>Aug 16-31, 2026</t>
        </is>
      </c>
      <c r="C1227" t="inlineStr">
        <is>
          <t>Construction Materials</t>
        </is>
      </c>
      <c r="D1227" t="n">
        <v>-250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-250</v>
      </c>
    </row>
    <row r="1228">
      <c r="A1228" s="43" t="n">
        <v>46265</v>
      </c>
      <c r="B1228" t="inlineStr">
        <is>
          <t>Aug 16-31, 2026</t>
        </is>
      </c>
      <c r="C1228" t="inlineStr">
        <is>
          <t>Consumer Durables</t>
        </is>
      </c>
      <c r="D1228" t="n">
        <v>2431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2431</v>
      </c>
    </row>
    <row r="1229">
      <c r="A1229" s="43" t="n">
        <v>46265</v>
      </c>
      <c r="B1229" t="inlineStr">
        <is>
          <t>Aug 16-31, 2026</t>
        </is>
      </c>
      <c r="C1229" t="inlineStr">
        <is>
          <t>Consumer Services</t>
        </is>
      </c>
      <c r="D1229" t="n">
        <v>5019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5019</v>
      </c>
    </row>
    <row r="1230">
      <c r="A1230" s="43" t="n">
        <v>46265</v>
      </c>
      <c r="B1230" t="inlineStr">
        <is>
          <t>Aug 16-31, 2026</t>
        </is>
      </c>
      <c r="C1230" t="inlineStr">
        <is>
          <t>Diversified</t>
        </is>
      </c>
      <c r="D1230" t="n">
        <v>-4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-4</v>
      </c>
    </row>
    <row r="1231">
      <c r="A1231" s="43" t="n">
        <v>46265</v>
      </c>
      <c r="B1231" t="inlineStr">
        <is>
          <t>Aug 16-31, 2026</t>
        </is>
      </c>
      <c r="C1231" t="inlineStr">
        <is>
          <t>Fast Moving Consumer Goods</t>
        </is>
      </c>
      <c r="D1231" t="n">
        <v>-1727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-1727</v>
      </c>
    </row>
    <row r="1232">
      <c r="A1232" s="43" t="n">
        <v>46265</v>
      </c>
      <c r="B1232" t="inlineStr">
        <is>
          <t>Aug 16-31, 2026</t>
        </is>
      </c>
      <c r="C1232" t="inlineStr">
        <is>
          <t>Financial Services</t>
        </is>
      </c>
      <c r="D1232" t="n">
        <v>3959</v>
      </c>
      <c r="E1232" t="n">
        <v>-718</v>
      </c>
      <c r="F1232" t="n">
        <v>860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-3</v>
      </c>
      <c r="N1232" t="n">
        <v>0</v>
      </c>
      <c r="O1232" t="n">
        <v>4098</v>
      </c>
    </row>
    <row r="1233">
      <c r="A1233" s="43" t="n">
        <v>46265</v>
      </c>
      <c r="B1233" t="inlineStr">
        <is>
          <t>Aug 16-31, 2026</t>
        </is>
      </c>
      <c r="C1233" t="inlineStr">
        <is>
          <t>Forest Materials</t>
        </is>
      </c>
      <c r="D1233" t="n">
        <v>-7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-7</v>
      </c>
    </row>
    <row r="1234">
      <c r="A1234" s="43" t="n">
        <v>46265</v>
      </c>
      <c r="B1234" t="inlineStr">
        <is>
          <t>Aug 16-31, 2026</t>
        </is>
      </c>
      <c r="C1234" t="inlineStr">
        <is>
          <t>Healthcare</t>
        </is>
      </c>
      <c r="D1234" t="n">
        <v>3021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3021</v>
      </c>
    </row>
    <row r="1235">
      <c r="A1235" s="43" t="n">
        <v>46265</v>
      </c>
      <c r="B1235" t="inlineStr">
        <is>
          <t>Aug 16-31, 2026</t>
        </is>
      </c>
      <c r="C1235" t="inlineStr">
        <is>
          <t>Information Technology</t>
        </is>
      </c>
      <c r="D1235" t="n">
        <v>1573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1573</v>
      </c>
    </row>
    <row r="1236">
      <c r="A1236" s="43" t="n">
        <v>46265</v>
      </c>
      <c r="B1236" t="inlineStr">
        <is>
          <t>Aug 16-31, 2026</t>
        </is>
      </c>
      <c r="C1236" t="inlineStr">
        <is>
          <t>Media, Entertainment &amp; Publication</t>
        </is>
      </c>
      <c r="D1236" t="n">
        <v>72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72</v>
      </c>
    </row>
    <row r="1237">
      <c r="A1237" s="43" t="n">
        <v>46265</v>
      </c>
      <c r="B1237" t="inlineStr">
        <is>
          <t>Aug 16-31, 2026</t>
        </is>
      </c>
      <c r="C1237" t="inlineStr">
        <is>
          <t>Metals &amp; Mining</t>
        </is>
      </c>
      <c r="D1237" t="n">
        <v>1087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1087</v>
      </c>
    </row>
    <row r="1238">
      <c r="A1238" s="43" t="n">
        <v>46265</v>
      </c>
      <c r="B1238" t="inlineStr">
        <is>
          <t>Aug 16-31, 2026</t>
        </is>
      </c>
      <c r="C1238" t="inlineStr">
        <is>
          <t>Oil, Gas &amp; Consumable Fuels</t>
        </is>
      </c>
      <c r="D1238" t="n">
        <v>-2251</v>
      </c>
      <c r="E1238" t="n">
        <v>0</v>
      </c>
      <c r="F1238" t="n">
        <v>0</v>
      </c>
      <c r="G1238" t="n">
        <v>0</v>
      </c>
      <c r="H1238" t="n">
        <v>-5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-2256</v>
      </c>
    </row>
    <row r="1239">
      <c r="A1239" s="43" t="n">
        <v>46265</v>
      </c>
      <c r="B1239" t="inlineStr">
        <is>
          <t>Aug 16-31, 2026</t>
        </is>
      </c>
      <c r="C1239" t="inlineStr">
        <is>
          <t>Others</t>
        </is>
      </c>
      <c r="D1239" t="n">
        <v>-992</v>
      </c>
      <c r="E1239" t="n">
        <v>-441</v>
      </c>
      <c r="F1239" t="n">
        <v>1225</v>
      </c>
      <c r="G1239" t="n">
        <v>0</v>
      </c>
      <c r="H1239" t="n">
        <v>96</v>
      </c>
      <c r="I1239" t="n">
        <v>54</v>
      </c>
      <c r="J1239" t="n">
        <v>-8</v>
      </c>
      <c r="K1239" t="n">
        <v>-43</v>
      </c>
      <c r="L1239" t="n">
        <v>0</v>
      </c>
      <c r="M1239" t="n">
        <v>-79</v>
      </c>
      <c r="N1239" t="n">
        <v>0</v>
      </c>
      <c r="O1239" t="n">
        <v>-188</v>
      </c>
    </row>
    <row r="1240">
      <c r="A1240" s="43" t="n">
        <v>46265</v>
      </c>
      <c r="B1240" t="inlineStr">
        <is>
          <t>Aug 16-31, 2026</t>
        </is>
      </c>
      <c r="C1240" t="inlineStr">
        <is>
          <t>Power</t>
        </is>
      </c>
      <c r="D1240" t="n">
        <v>-389</v>
      </c>
      <c r="E1240" t="n">
        <v>-20</v>
      </c>
      <c r="F1240" t="n">
        <v>0</v>
      </c>
      <c r="G1240" t="n">
        <v>0</v>
      </c>
      <c r="H1240" t="n">
        <v>-16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-425</v>
      </c>
    </row>
    <row r="1241">
      <c r="A1241" s="43" t="n">
        <v>46265</v>
      </c>
      <c r="B1241" t="inlineStr">
        <is>
          <t>Aug 16-31, 2026</t>
        </is>
      </c>
      <c r="C1241" t="inlineStr">
        <is>
          <t>Realty</t>
        </is>
      </c>
      <c r="D1241" t="n">
        <v>420</v>
      </c>
      <c r="E1241" t="n">
        <v>0</v>
      </c>
      <c r="F1241" t="n">
        <v>0</v>
      </c>
      <c r="G1241" t="n">
        <v>0</v>
      </c>
      <c r="H1241" t="n">
        <v>-2042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-1622</v>
      </c>
    </row>
    <row r="1242">
      <c r="A1242" s="43" t="n">
        <v>46265</v>
      </c>
      <c r="B1242" t="inlineStr">
        <is>
          <t>Aug 16-31, 2026</t>
        </is>
      </c>
      <c r="C1242" t="inlineStr">
        <is>
          <t>Services</t>
        </is>
      </c>
      <c r="D1242" t="n">
        <v>1193</v>
      </c>
      <c r="E1242" t="n">
        <v>0</v>
      </c>
      <c r="F1242" t="n">
        <v>-200</v>
      </c>
      <c r="G1242" t="n">
        <v>0</v>
      </c>
      <c r="H1242" t="n">
        <v>-45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948</v>
      </c>
    </row>
    <row r="1243">
      <c r="A1243" s="43" t="n">
        <v>46265</v>
      </c>
      <c r="B1243" t="inlineStr">
        <is>
          <t>Aug 16-31, 2026</t>
        </is>
      </c>
      <c r="C1243" t="inlineStr">
        <is>
          <t>Sovereign</t>
        </is>
      </c>
      <c r="D1243" t="n">
        <v>0</v>
      </c>
      <c r="E1243" t="n">
        <v>-1101</v>
      </c>
      <c r="F1243" t="n">
        <v>0</v>
      </c>
      <c r="G1243" t="n">
        <v>-708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-1809</v>
      </c>
    </row>
    <row r="1244">
      <c r="A1244" s="43" t="n">
        <v>46265</v>
      </c>
      <c r="B1244" t="inlineStr">
        <is>
          <t>Aug 16-31, 2026</t>
        </is>
      </c>
      <c r="C1244" t="inlineStr">
        <is>
          <t>Telecommunication</t>
        </is>
      </c>
      <c r="D1244" t="n">
        <v>-1661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-1661</v>
      </c>
    </row>
    <row r="1245">
      <c r="A1245" s="43" t="n">
        <v>46265</v>
      </c>
      <c r="B1245" t="inlineStr">
        <is>
          <t>Aug 16-31, 2026</t>
        </is>
      </c>
      <c r="C1245" t="inlineStr">
        <is>
          <t>Textiles</t>
        </is>
      </c>
      <c r="D1245" t="n">
        <v>-294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-294</v>
      </c>
    </row>
    <row r="1246">
      <c r="A1246" s="43" t="n">
        <v>46265</v>
      </c>
      <c r="B1246" t="inlineStr">
        <is>
          <t>Aug 16-31, 2026</t>
        </is>
      </c>
      <c r="C1246" t="inlineStr">
        <is>
          <t>Utilities</t>
        </is>
      </c>
      <c r="D1246" t="n">
        <v>-38</v>
      </c>
      <c r="E1246" t="n">
        <v>-6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-44</v>
      </c>
    </row>
    <row r="1247">
      <c r="A1247" s="43" t="n">
        <v>46280</v>
      </c>
      <c r="B1247" t="inlineStr">
        <is>
          <t>Sep 01-15, 2026</t>
        </is>
      </c>
      <c r="C1247" t="inlineStr">
        <is>
          <t>Automobile and Auto Components</t>
        </is>
      </c>
      <c r="D1247" t="n">
        <v>-2670</v>
      </c>
      <c r="E1247" t="n">
        <v>-782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-3452</v>
      </c>
    </row>
    <row r="1248">
      <c r="A1248" s="43" t="n">
        <v>46280</v>
      </c>
      <c r="B1248" t="inlineStr">
        <is>
          <t>Sep 01-15, 2026</t>
        </is>
      </c>
      <c r="C1248" t="inlineStr">
        <is>
          <t>Capital Goods</t>
        </is>
      </c>
      <c r="D1248" t="n">
        <v>-108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-108</v>
      </c>
    </row>
    <row r="1249">
      <c r="A1249" s="43" t="n">
        <v>46280</v>
      </c>
      <c r="B1249" t="inlineStr">
        <is>
          <t>Sep 01-15, 2026</t>
        </is>
      </c>
      <c r="C1249" t="inlineStr">
        <is>
          <t>Chemicals</t>
        </is>
      </c>
      <c r="D1249" t="n">
        <v>228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228</v>
      </c>
    </row>
    <row r="1250">
      <c r="A1250" s="43" t="n">
        <v>46280</v>
      </c>
      <c r="B1250" t="inlineStr">
        <is>
          <t>Sep 01-15, 2026</t>
        </is>
      </c>
      <c r="C1250" t="inlineStr">
        <is>
          <t>Construction</t>
        </is>
      </c>
      <c r="D1250" t="n">
        <v>930</v>
      </c>
      <c r="E1250" t="n">
        <v>0</v>
      </c>
      <c r="F1250" t="n">
        <v>0</v>
      </c>
      <c r="G1250" t="n">
        <v>0</v>
      </c>
      <c r="H1250" t="n">
        <v>-1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929</v>
      </c>
    </row>
    <row r="1251">
      <c r="A1251" s="43" t="n">
        <v>46280</v>
      </c>
      <c r="B1251" t="inlineStr">
        <is>
          <t>Sep 01-15, 2026</t>
        </is>
      </c>
      <c r="C1251" t="inlineStr">
        <is>
          <t>Construction Materials</t>
        </is>
      </c>
      <c r="D1251" t="n">
        <v>-358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-358</v>
      </c>
    </row>
    <row r="1252">
      <c r="A1252" s="43" t="n">
        <v>46280</v>
      </c>
      <c r="B1252" t="inlineStr">
        <is>
          <t>Sep 01-15, 2026</t>
        </is>
      </c>
      <c r="C1252" t="inlineStr">
        <is>
          <t>Consumer Durables</t>
        </is>
      </c>
      <c r="D1252" t="n">
        <v>-397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-397</v>
      </c>
    </row>
    <row r="1253">
      <c r="A1253" s="43" t="n">
        <v>46280</v>
      </c>
      <c r="B1253" t="inlineStr">
        <is>
          <t>Sep 01-15, 2026</t>
        </is>
      </c>
      <c r="C1253" t="inlineStr">
        <is>
          <t>Consumer Services</t>
        </is>
      </c>
      <c r="D1253" t="n">
        <v>422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422</v>
      </c>
    </row>
    <row r="1254">
      <c r="A1254" s="43" t="n">
        <v>46280</v>
      </c>
      <c r="B1254" t="inlineStr">
        <is>
          <t>Sep 01-15, 2026</t>
        </is>
      </c>
      <c r="C1254" t="inlineStr">
        <is>
          <t>Diversified</t>
        </is>
      </c>
      <c r="D1254" t="n">
        <v>-23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-23</v>
      </c>
    </row>
    <row r="1255">
      <c r="A1255" s="43" t="n">
        <v>46280</v>
      </c>
      <c r="B1255" t="inlineStr">
        <is>
          <t>Sep 01-15, 2026</t>
        </is>
      </c>
      <c r="C1255" t="inlineStr">
        <is>
          <t>Fast Moving Consumer Goods</t>
        </is>
      </c>
      <c r="D1255" t="n">
        <v>-2029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-2029</v>
      </c>
    </row>
    <row r="1256">
      <c r="A1256" s="43" t="n">
        <v>46280</v>
      </c>
      <c r="B1256" t="inlineStr">
        <is>
          <t>Sep 01-15, 2026</t>
        </is>
      </c>
      <c r="C1256" t="inlineStr">
        <is>
          <t>Financial Services</t>
        </is>
      </c>
      <c r="D1256" t="n">
        <v>-6204</v>
      </c>
      <c r="E1256" t="n">
        <v>-130</v>
      </c>
      <c r="F1256" t="n">
        <v>-472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-2</v>
      </c>
      <c r="N1256" t="n">
        <v>0</v>
      </c>
      <c r="O1256" t="n">
        <v>-6808</v>
      </c>
    </row>
    <row r="1257">
      <c r="A1257" s="43" t="n">
        <v>46280</v>
      </c>
      <c r="B1257" t="inlineStr">
        <is>
          <t>Sep 01-15, 2026</t>
        </is>
      </c>
      <c r="C1257" t="inlineStr">
        <is>
          <t>Forest Materials</t>
        </is>
      </c>
      <c r="D1257" t="n">
        <v>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7</v>
      </c>
    </row>
    <row r="1258">
      <c r="A1258" s="43" t="n">
        <v>46280</v>
      </c>
      <c r="B1258" t="inlineStr">
        <is>
          <t>Sep 01-15, 2026</t>
        </is>
      </c>
      <c r="C1258" t="inlineStr">
        <is>
          <t>Healthcare</t>
        </is>
      </c>
      <c r="D1258" t="n">
        <v>2114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2114</v>
      </c>
    </row>
    <row r="1259">
      <c r="A1259" s="43" t="n">
        <v>46280</v>
      </c>
      <c r="B1259" t="inlineStr">
        <is>
          <t>Sep 01-15, 2026</t>
        </is>
      </c>
      <c r="C1259" t="inlineStr">
        <is>
          <t>Information Technology</t>
        </is>
      </c>
      <c r="D1259" t="n">
        <v>-960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-960</v>
      </c>
    </row>
    <row r="1260">
      <c r="A1260" s="43" t="n">
        <v>46280</v>
      </c>
      <c r="B1260" t="inlineStr">
        <is>
          <t>Sep 01-15, 2026</t>
        </is>
      </c>
      <c r="C1260" t="inlineStr">
        <is>
          <t>Media, Entertainment &amp; Publication</t>
        </is>
      </c>
      <c r="D1260" t="n">
        <v>-93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-93</v>
      </c>
    </row>
    <row r="1261">
      <c r="A1261" s="43" t="n">
        <v>46280</v>
      </c>
      <c r="B1261" t="inlineStr">
        <is>
          <t>Sep 01-15, 2026</t>
        </is>
      </c>
      <c r="C1261" t="inlineStr">
        <is>
          <t>Metals &amp; Mining</t>
        </is>
      </c>
      <c r="D1261" t="n">
        <v>-681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-681</v>
      </c>
    </row>
    <row r="1262">
      <c r="A1262" s="43" t="n">
        <v>46280</v>
      </c>
      <c r="B1262" t="inlineStr">
        <is>
          <t>Sep 01-15, 2026</t>
        </is>
      </c>
      <c r="C1262" t="inlineStr">
        <is>
          <t>Oil, Gas &amp; Consumable Fuels</t>
        </is>
      </c>
      <c r="D1262" t="n">
        <v>-2385</v>
      </c>
      <c r="E1262" t="n">
        <v>0</v>
      </c>
      <c r="F1262" t="n">
        <v>0</v>
      </c>
      <c r="G1262" t="n">
        <v>0</v>
      </c>
      <c r="H1262" t="n">
        <v>-3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-2388</v>
      </c>
    </row>
    <row r="1263">
      <c r="A1263" s="43" t="n">
        <v>46280</v>
      </c>
      <c r="B1263" t="inlineStr">
        <is>
          <t>Sep 01-15, 2026</t>
        </is>
      </c>
      <c r="C1263" t="inlineStr">
        <is>
          <t>Others</t>
        </is>
      </c>
      <c r="D1263" t="n">
        <v>388</v>
      </c>
      <c r="E1263" t="n">
        <v>-1243</v>
      </c>
      <c r="F1263" t="n">
        <v>-70</v>
      </c>
      <c r="G1263" t="n">
        <v>0</v>
      </c>
      <c r="H1263" t="n">
        <v>0</v>
      </c>
      <c r="I1263" t="n">
        <v>49</v>
      </c>
      <c r="J1263" t="n">
        <v>107</v>
      </c>
      <c r="K1263" t="n">
        <v>-3</v>
      </c>
      <c r="L1263" t="n">
        <v>0</v>
      </c>
      <c r="M1263" t="n">
        <v>-37</v>
      </c>
      <c r="N1263" t="n">
        <v>0</v>
      </c>
      <c r="O1263" t="n">
        <v>-809</v>
      </c>
    </row>
    <row r="1264">
      <c r="A1264" s="43" t="n">
        <v>46280</v>
      </c>
      <c r="B1264" t="inlineStr">
        <is>
          <t>Sep 01-15, 2026</t>
        </is>
      </c>
      <c r="C1264" t="inlineStr">
        <is>
          <t>Power</t>
        </is>
      </c>
      <c r="D1264" t="n">
        <v>-1653</v>
      </c>
      <c r="E1264" t="n">
        <v>0</v>
      </c>
      <c r="F1264" t="n">
        <v>0</v>
      </c>
      <c r="G1264" t="n">
        <v>0</v>
      </c>
      <c r="H1264" t="n">
        <v>-19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-1672</v>
      </c>
    </row>
    <row r="1265">
      <c r="A1265" s="43" t="n">
        <v>46280</v>
      </c>
      <c r="B1265" t="inlineStr">
        <is>
          <t>Sep 01-15, 2026</t>
        </is>
      </c>
      <c r="C1265" t="inlineStr">
        <is>
          <t>Realty</t>
        </is>
      </c>
      <c r="D1265" t="n">
        <v>-762</v>
      </c>
      <c r="E1265" t="n">
        <v>-1</v>
      </c>
      <c r="F1265" t="n">
        <v>0</v>
      </c>
      <c r="G1265" t="n">
        <v>0</v>
      </c>
      <c r="H1265" t="n">
        <v>1094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331</v>
      </c>
    </row>
    <row r="1266">
      <c r="A1266" s="43" t="n">
        <v>46280</v>
      </c>
      <c r="B1266" t="inlineStr">
        <is>
          <t>Sep 01-15, 2026</t>
        </is>
      </c>
      <c r="C1266" t="inlineStr">
        <is>
          <t>Services</t>
        </is>
      </c>
      <c r="D1266" t="n">
        <v>905</v>
      </c>
      <c r="E1266" t="n">
        <v>480</v>
      </c>
      <c r="F1266" t="n">
        <v>0</v>
      </c>
      <c r="G1266" t="n">
        <v>0</v>
      </c>
      <c r="H1266" t="n">
        <v>-11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1374</v>
      </c>
    </row>
    <row r="1267">
      <c r="A1267" s="43" t="n">
        <v>46280</v>
      </c>
      <c r="B1267" t="inlineStr">
        <is>
          <t>Sep 01-15, 2026</t>
        </is>
      </c>
      <c r="C1267" t="inlineStr">
        <is>
          <t>Sovereign</t>
        </is>
      </c>
      <c r="D1267" t="n">
        <v>0</v>
      </c>
      <c r="E1267" t="n">
        <v>639</v>
      </c>
      <c r="F1267" t="n">
        <v>0</v>
      </c>
      <c r="G1267" t="n">
        <v>-6084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-5445</v>
      </c>
    </row>
    <row r="1268">
      <c r="A1268" s="43" t="n">
        <v>46280</v>
      </c>
      <c r="B1268" t="inlineStr">
        <is>
          <t>Sep 01-15, 2026</t>
        </is>
      </c>
      <c r="C1268" t="inlineStr">
        <is>
          <t>Telecommunication</t>
        </is>
      </c>
      <c r="D1268" t="n">
        <v>-991</v>
      </c>
      <c r="E1268" t="n">
        <v>0</v>
      </c>
      <c r="F1268" t="n">
        <v>0</v>
      </c>
      <c r="G1268" t="n">
        <v>0</v>
      </c>
      <c r="H1268" t="n">
        <v>-3483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-4474</v>
      </c>
    </row>
    <row r="1269">
      <c r="A1269" s="43" t="n">
        <v>46280</v>
      </c>
      <c r="B1269" t="inlineStr">
        <is>
          <t>Sep 01-15, 2026</t>
        </is>
      </c>
      <c r="C1269" t="inlineStr">
        <is>
          <t>Textiles</t>
        </is>
      </c>
      <c r="D1269" t="n">
        <v>10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10</v>
      </c>
    </row>
    <row r="1270">
      <c r="A1270" s="43" t="n">
        <v>46280</v>
      </c>
      <c r="B1270" t="inlineStr">
        <is>
          <t>Sep 01-15, 2026</t>
        </is>
      </c>
      <c r="C1270" t="inlineStr">
        <is>
          <t>Utilities</t>
        </is>
      </c>
      <c r="D1270" t="n">
        <v>194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194</v>
      </c>
    </row>
    <row r="1271">
      <c r="A1271" s="43" t="n">
        <v>46295</v>
      </c>
      <c r="B1271" t="inlineStr">
        <is>
          <t>Sep 16-30, 2026</t>
        </is>
      </c>
      <c r="C1271" t="inlineStr">
        <is>
          <t>Automobile and Auto Components</t>
        </is>
      </c>
      <c r="D1271" t="n">
        <v>-3542</v>
      </c>
      <c r="E1271" t="n">
        <v>0</v>
      </c>
      <c r="F1271" t="n">
        <v>-220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-3762</v>
      </c>
    </row>
    <row r="1272">
      <c r="A1272" s="43" t="n">
        <v>46295</v>
      </c>
      <c r="B1272" t="inlineStr">
        <is>
          <t>Sep 16-30, 2026</t>
        </is>
      </c>
      <c r="C1272" t="inlineStr">
        <is>
          <t>Capital Goods</t>
        </is>
      </c>
      <c r="D1272" t="n">
        <v>-1353</v>
      </c>
      <c r="E1272" t="n">
        <v>-33</v>
      </c>
      <c r="F1272" t="n">
        <v>-2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-1388</v>
      </c>
    </row>
    <row r="1273">
      <c r="A1273" s="43" t="n">
        <v>46295</v>
      </c>
      <c r="B1273" t="inlineStr">
        <is>
          <t>Sep 16-30, 2026</t>
        </is>
      </c>
      <c r="C1273" t="inlineStr">
        <is>
          <t>Chemicals</t>
        </is>
      </c>
      <c r="D1273" t="n">
        <v>-133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-133</v>
      </c>
    </row>
    <row r="1274">
      <c r="A1274" s="43" t="n">
        <v>46295</v>
      </c>
      <c r="B1274" t="inlineStr">
        <is>
          <t>Sep 16-30, 2026</t>
        </is>
      </c>
      <c r="C1274" t="inlineStr">
        <is>
          <t>Construction</t>
        </is>
      </c>
      <c r="D1274" t="n">
        <v>381</v>
      </c>
      <c r="E1274" t="n">
        <v>0</v>
      </c>
      <c r="F1274" t="n">
        <v>0</v>
      </c>
      <c r="G1274" t="n">
        <v>0</v>
      </c>
      <c r="H1274" t="n">
        <v>-1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380</v>
      </c>
    </row>
    <row r="1275">
      <c r="A1275" s="43" t="n">
        <v>46295</v>
      </c>
      <c r="B1275" t="inlineStr">
        <is>
          <t>Sep 16-30, 2026</t>
        </is>
      </c>
      <c r="C1275" t="inlineStr">
        <is>
          <t>Construction Materials</t>
        </is>
      </c>
      <c r="D1275" t="n">
        <v>-847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-847</v>
      </c>
    </row>
    <row r="1276">
      <c r="A1276" s="43" t="n">
        <v>46295</v>
      </c>
      <c r="B1276" t="inlineStr">
        <is>
          <t>Sep 16-30, 2026</t>
        </is>
      </c>
      <c r="C1276" t="inlineStr">
        <is>
          <t>Consumer Durables</t>
        </is>
      </c>
      <c r="D1276" t="n">
        <v>-1508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-1508</v>
      </c>
    </row>
    <row r="1277">
      <c r="A1277" s="43" t="n">
        <v>46295</v>
      </c>
      <c r="B1277" t="inlineStr">
        <is>
          <t>Sep 16-30, 2026</t>
        </is>
      </c>
      <c r="C1277" t="inlineStr">
        <is>
          <t>Consumer Services</t>
        </is>
      </c>
      <c r="D1277" t="n">
        <v>1911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1911</v>
      </c>
    </row>
    <row r="1278">
      <c r="A1278" s="43" t="n">
        <v>46295</v>
      </c>
      <c r="B1278" t="inlineStr">
        <is>
          <t>Sep 16-30, 2026</t>
        </is>
      </c>
      <c r="C1278" t="inlineStr">
        <is>
          <t>Diversified</t>
        </is>
      </c>
      <c r="D1278" t="n">
        <v>115</v>
      </c>
      <c r="E1278" t="n">
        <v>-12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103</v>
      </c>
    </row>
    <row r="1279">
      <c r="A1279" s="43" t="n">
        <v>46295</v>
      </c>
      <c r="B1279" t="inlineStr">
        <is>
          <t>Sep 16-30, 2026</t>
        </is>
      </c>
      <c r="C1279" t="inlineStr">
        <is>
          <t>Fast Moving Consumer Goods</t>
        </is>
      </c>
      <c r="D1279" t="n">
        <v>-972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-972</v>
      </c>
    </row>
    <row r="1280">
      <c r="A1280" s="43" t="n">
        <v>46295</v>
      </c>
      <c r="B1280" t="inlineStr">
        <is>
          <t>Sep 16-30, 2026</t>
        </is>
      </c>
      <c r="C1280" t="inlineStr">
        <is>
          <t>Financial Services</t>
        </is>
      </c>
      <c r="D1280" t="n">
        <v>-6943</v>
      </c>
      <c r="E1280" t="n">
        <v>-523</v>
      </c>
      <c r="F1280" t="n">
        <v>-652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-2</v>
      </c>
      <c r="N1280" t="n">
        <v>0</v>
      </c>
      <c r="O1280" t="n">
        <v>-8120</v>
      </c>
    </row>
    <row r="1281">
      <c r="A1281" s="43" t="n">
        <v>46295</v>
      </c>
      <c r="B1281" t="inlineStr">
        <is>
          <t>Sep 16-30, 2026</t>
        </is>
      </c>
      <c r="C1281" t="inlineStr">
        <is>
          <t>Forest Materials</t>
        </is>
      </c>
      <c r="D1281" t="n">
        <v>6</v>
      </c>
      <c r="E1281" t="n">
        <v>14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20</v>
      </c>
    </row>
    <row r="1282">
      <c r="A1282" s="43" t="n">
        <v>46295</v>
      </c>
      <c r="B1282" t="inlineStr">
        <is>
          <t>Sep 16-30, 2026</t>
        </is>
      </c>
      <c r="C1282" t="inlineStr">
        <is>
          <t>Healthcare</t>
        </is>
      </c>
      <c r="D1282" t="n">
        <v>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3</v>
      </c>
    </row>
    <row r="1283">
      <c r="A1283" s="43" t="n">
        <v>46295</v>
      </c>
      <c r="B1283" t="inlineStr">
        <is>
          <t>Sep 16-30, 2026</t>
        </is>
      </c>
      <c r="C1283" t="inlineStr">
        <is>
          <t>Information Technology</t>
        </is>
      </c>
      <c r="D1283" t="n">
        <v>-38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-38</v>
      </c>
    </row>
    <row r="1284">
      <c r="A1284" s="43" t="n">
        <v>46295</v>
      </c>
      <c r="B1284" t="inlineStr">
        <is>
          <t>Sep 16-30, 2026</t>
        </is>
      </c>
      <c r="C1284" t="inlineStr">
        <is>
          <t>Media, Entertainment &amp; Publication</t>
        </is>
      </c>
      <c r="D1284" t="n">
        <v>31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31</v>
      </c>
    </row>
    <row r="1285">
      <c r="A1285" s="43" t="n">
        <v>46295</v>
      </c>
      <c r="B1285" t="inlineStr">
        <is>
          <t>Sep 16-30, 2026</t>
        </is>
      </c>
      <c r="C1285" t="inlineStr">
        <is>
          <t>Metals &amp; Mining</t>
        </is>
      </c>
      <c r="D1285" t="n">
        <v>-2322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-2322</v>
      </c>
    </row>
    <row r="1286">
      <c r="A1286" s="43" t="n">
        <v>46295</v>
      </c>
      <c r="B1286" t="inlineStr">
        <is>
          <t>Sep 16-30, 2026</t>
        </is>
      </c>
      <c r="C1286" t="inlineStr">
        <is>
          <t>Oil, Gas &amp; Consumable Fuels</t>
        </is>
      </c>
      <c r="D1286" t="n">
        <v>-4469</v>
      </c>
      <c r="E1286" t="n">
        <v>0</v>
      </c>
      <c r="F1286" t="n">
        <v>0</v>
      </c>
      <c r="G1286" t="n">
        <v>0</v>
      </c>
      <c r="H1286" t="n">
        <v>-4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-4473</v>
      </c>
    </row>
    <row r="1287">
      <c r="A1287" s="43" t="n">
        <v>46295</v>
      </c>
      <c r="B1287" t="inlineStr">
        <is>
          <t>Sep 16-30, 2026</t>
        </is>
      </c>
      <c r="C1287" t="inlineStr">
        <is>
          <t>Others</t>
        </is>
      </c>
      <c r="D1287" t="n">
        <v>-1091</v>
      </c>
      <c r="E1287" t="n">
        <v>-3180</v>
      </c>
      <c r="F1287" t="n">
        <v>-2036</v>
      </c>
      <c r="G1287" t="n">
        <v>0</v>
      </c>
      <c r="H1287" t="n">
        <v>461</v>
      </c>
      <c r="I1287" t="n">
        <v>198</v>
      </c>
      <c r="J1287" t="n">
        <v>-106</v>
      </c>
      <c r="K1287" t="n">
        <v>102</v>
      </c>
      <c r="L1287" t="n">
        <v>0</v>
      </c>
      <c r="M1287" t="n">
        <v>-84</v>
      </c>
      <c r="N1287" t="n">
        <v>0</v>
      </c>
      <c r="O1287" t="n">
        <v>-5736</v>
      </c>
    </row>
    <row r="1288">
      <c r="A1288" s="43" t="n">
        <v>46295</v>
      </c>
      <c r="B1288" t="inlineStr">
        <is>
          <t>Sep 16-30, 2026</t>
        </is>
      </c>
      <c r="C1288" t="inlineStr">
        <is>
          <t>Power</t>
        </is>
      </c>
      <c r="D1288" t="n">
        <v>-570</v>
      </c>
      <c r="E1288" t="n">
        <v>121</v>
      </c>
      <c r="F1288" t="n">
        <v>50</v>
      </c>
      <c r="G1288" t="n">
        <v>0</v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-397</v>
      </c>
    </row>
    <row r="1289">
      <c r="A1289" s="43" t="n">
        <v>46295</v>
      </c>
      <c r="B1289" t="inlineStr">
        <is>
          <t>Sep 16-30, 2026</t>
        </is>
      </c>
      <c r="C1289" t="inlineStr">
        <is>
          <t>Realty</t>
        </is>
      </c>
      <c r="D1289" t="n">
        <v>19</v>
      </c>
      <c r="E1289" t="n">
        <v>0</v>
      </c>
      <c r="F1289" t="n">
        <v>0</v>
      </c>
      <c r="G1289" t="n">
        <v>0</v>
      </c>
      <c r="H1289" t="n">
        <v>-107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-88</v>
      </c>
    </row>
    <row r="1290">
      <c r="A1290" s="43" t="n">
        <v>46295</v>
      </c>
      <c r="B1290" t="inlineStr">
        <is>
          <t>Sep 16-30, 2026</t>
        </is>
      </c>
      <c r="C1290" t="inlineStr">
        <is>
          <t>Services</t>
        </is>
      </c>
      <c r="D1290" t="n">
        <v>1397</v>
      </c>
      <c r="E1290" t="n">
        <v>-493</v>
      </c>
      <c r="F1290" t="n">
        <v>-1350</v>
      </c>
      <c r="G1290" t="n">
        <v>0</v>
      </c>
      <c r="H1290" t="n">
        <v>-8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-454</v>
      </c>
    </row>
    <row r="1291">
      <c r="A1291" s="43" t="n">
        <v>46295</v>
      </c>
      <c r="B1291" t="inlineStr">
        <is>
          <t>Sep 16-30, 2026</t>
        </is>
      </c>
      <c r="C1291" t="inlineStr">
        <is>
          <t>Sovereign</t>
        </is>
      </c>
      <c r="D1291" t="n">
        <v>0</v>
      </c>
      <c r="E1291" t="n">
        <v>-105</v>
      </c>
      <c r="F1291" t="n">
        <v>-297</v>
      </c>
      <c r="G1291" t="n">
        <v>-4347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-4749</v>
      </c>
    </row>
    <row r="1292">
      <c r="A1292" s="43" t="n">
        <v>46295</v>
      </c>
      <c r="B1292" t="inlineStr">
        <is>
          <t>Sep 16-30, 2026</t>
        </is>
      </c>
      <c r="C1292" t="inlineStr">
        <is>
          <t>Telecommunication</t>
        </is>
      </c>
      <c r="D1292" t="n">
        <v>-2423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-2423</v>
      </c>
    </row>
    <row r="1293">
      <c r="A1293" s="43" t="n">
        <v>46295</v>
      </c>
      <c r="B1293" t="inlineStr">
        <is>
          <t>Sep 16-30, 2026</t>
        </is>
      </c>
      <c r="C1293" t="inlineStr">
        <is>
          <t>Textiles</t>
        </is>
      </c>
      <c r="D1293" t="n">
        <v>636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636</v>
      </c>
    </row>
    <row r="1294">
      <c r="A1294" s="43" t="n">
        <v>46295</v>
      </c>
      <c r="B1294" t="inlineStr">
        <is>
          <t>Sep 16-30, 2026</t>
        </is>
      </c>
      <c r="C1294" t="inlineStr">
        <is>
          <t>Utilities</t>
        </is>
      </c>
      <c r="D1294" t="n">
        <v>-33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-33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style="30" min="1" max="1"/>
    <col width="14" customWidth="1" style="30" min="2" max="2"/>
    <col width="14" customWidth="1" style="30" min="3" max="3"/>
    <col width="14" customWidth="1" style="30" min="4" max="4"/>
    <col width="14" customWidth="1" style="30" min="5" max="5"/>
    <col width="14" customWidth="1" style="30" min="6" max="6"/>
    <col width="14" customWidth="1" style="30" min="7" max="7"/>
    <col width="14" customWidth="1" style="30" min="8" max="8"/>
    <col width="14" customWidth="1" style="30" min="9" max="9"/>
    <col width="14" customWidth="1" style="30" min="10" max="10"/>
    <col width="14" customWidth="1" style="30" min="11" max="11"/>
    <col width="14" customWidth="1" style="30" min="12" max="12"/>
    <col width="14" customWidth="1" style="30" min="13" max="13"/>
    <col width="14" customWidth="1" style="30" min="14" max="14"/>
    <col width="14" customWidth="1" style="30" min="15" max="15"/>
    <col width="14" customWidth="1" style="30" min="16" max="16"/>
    <col width="14" customWidth="1" style="30" min="17" max="17"/>
    <col width="14" customWidth="1" style="30" min="18" max="18"/>
    <col width="14" customWidth="1" style="30" min="19" max="19"/>
    <col width="14" customWidth="1" style="30" min="20" max="20"/>
    <col width="14" customWidth="1" style="30" min="21" max="21"/>
    <col width="14" customWidth="1" style="30" min="22" max="22"/>
    <col width="14" customWidth="1" style="30" min="23" max="23"/>
    <col width="14" customWidth="1" style="30" min="24" max="24"/>
    <col width="14" customWidth="1" style="30" min="25" max="25"/>
    <col width="14" customWidth="1" style="30" min="26" max="26"/>
    <col width="14" customWidth="1" style="30" min="27" max="27"/>
    <col width="14" customWidth="1" style="30" min="28" max="28"/>
    <col width="14" customWidth="1" style="30" min="29" max="29"/>
    <col width="14" customWidth="1" style="30" min="30" max="30"/>
    <col width="14" customWidth="1" style="30" min="31" max="31"/>
    <col width="14" customWidth="1" style="30" min="32" max="32"/>
    <col width="14" customWidth="1" style="30" min="33" max="33"/>
    <col width="14" customWidth="1" style="30" min="34" max="34"/>
    <col width="14" customWidth="1" style="30" min="35" max="35"/>
    <col width="14" customWidth="1" style="30" min="36" max="36"/>
    <col width="14" customWidth="1" style="30" min="37" max="37"/>
    <col width="14" customWidth="1" style="30" min="38" max="38"/>
    <col width="14" customWidth="1" style="30" min="39" max="39"/>
    <col width="14" customWidth="1" style="30" min="40" max="40"/>
    <col width="14" customWidth="1" style="30" min="41" max="41"/>
    <col width="14" customWidth="1" style="30" min="42" max="42"/>
    <col width="14" customWidth="1" style="30" min="43" max="43"/>
    <col width="14" customWidth="1" style="30" min="44" max="44"/>
    <col width="14" customWidth="1" style="30" min="45" max="45"/>
    <col width="14" customWidth="1" style="30" min="46" max="46"/>
    <col width="14" customWidth="1" style="30" min="47" max="47"/>
    <col width="14" customWidth="1" style="30" min="48" max="48"/>
    <col width="14" customWidth="1" style="30" min="49" max="49"/>
    <col width="14" customWidth="1" style="30" min="50" max="50"/>
    <col width="14" customWidth="1" style="30" min="51" max="51"/>
    <col width="14" customWidth="1" style="30" min="52" max="52"/>
    <col width="14" customWidth="1" style="30" min="53" max="53"/>
    <col width="14" customWidth="1" style="30" min="54" max="54"/>
    <col width="14" customWidth="1" style="30" min="55" max="55"/>
  </cols>
  <sheetData>
    <row r="1">
      <c r="A1" s="40" t="inlineStr">
        <is>
          <t>Sector</t>
        </is>
      </c>
      <c r="B1" s="41" t="inlineStr">
        <is>
          <t>2024-07-15</t>
        </is>
      </c>
      <c r="C1" s="41" t="inlineStr">
        <is>
          <t>2024-07-31</t>
        </is>
      </c>
      <c r="D1" s="41" t="inlineStr">
        <is>
          <t>2024-08-15</t>
        </is>
      </c>
      <c r="E1" s="41" t="inlineStr">
        <is>
          <t>2024-08-31</t>
        </is>
      </c>
      <c r="F1" s="41" t="inlineStr">
        <is>
          <t>2024-09-15</t>
        </is>
      </c>
      <c r="G1" s="41" t="inlineStr">
        <is>
          <t>2024-09-30</t>
        </is>
      </c>
      <c r="H1" s="41" t="inlineStr">
        <is>
          <t>2024-10-15</t>
        </is>
      </c>
      <c r="I1" s="41" t="inlineStr">
        <is>
          <t>2024-10-31</t>
        </is>
      </c>
      <c r="J1" s="41" t="inlineStr">
        <is>
          <t>2024-11-15</t>
        </is>
      </c>
      <c r="K1" s="41" t="inlineStr">
        <is>
          <t>2024-11-30</t>
        </is>
      </c>
      <c r="L1" s="41" t="inlineStr">
        <is>
          <t>2024-12-15</t>
        </is>
      </c>
      <c r="M1" s="41" t="inlineStr">
        <is>
          <t>2024-12-31</t>
        </is>
      </c>
      <c r="N1" s="41" t="inlineStr">
        <is>
          <t>2025-01-15</t>
        </is>
      </c>
      <c r="O1" s="41" t="inlineStr">
        <is>
          <t>2025-01-31</t>
        </is>
      </c>
      <c r="P1" s="41" t="inlineStr">
        <is>
          <t>2025-02-15</t>
        </is>
      </c>
      <c r="Q1" s="41" t="inlineStr">
        <is>
          <t>2025-02-28</t>
        </is>
      </c>
      <c r="R1" s="41" t="inlineStr">
        <is>
          <t>2025-03-15</t>
        </is>
      </c>
      <c r="S1" s="41" t="inlineStr">
        <is>
          <t>2025-03-31</t>
        </is>
      </c>
      <c r="T1" s="41" t="inlineStr">
        <is>
          <t>2025-04-15</t>
        </is>
      </c>
      <c r="U1" s="41" t="inlineStr">
        <is>
          <t>2025-04-30</t>
        </is>
      </c>
      <c r="V1" s="41" t="inlineStr">
        <is>
          <t>2025-05-15</t>
        </is>
      </c>
      <c r="W1" s="41" t="inlineStr">
        <is>
          <t>2025-05-31</t>
        </is>
      </c>
      <c r="X1" s="41" t="inlineStr">
        <is>
          <t>2025-06-15</t>
        </is>
      </c>
      <c r="Y1" s="41" t="inlineStr">
        <is>
          <t>2025-06-30</t>
        </is>
      </c>
      <c r="Z1" s="41" t="inlineStr">
        <is>
          <t>2025-07-15</t>
        </is>
      </c>
      <c r="AA1" s="41" t="inlineStr">
        <is>
          <t>2025-07-31</t>
        </is>
      </c>
      <c r="AB1" s="41" t="inlineStr">
        <is>
          <t>2025-08-15</t>
        </is>
      </c>
      <c r="AC1" s="41" t="inlineStr">
        <is>
          <t>2025-08-31</t>
        </is>
      </c>
      <c r="AD1" s="41" t="inlineStr">
        <is>
          <t>2025-09-15</t>
        </is>
      </c>
      <c r="AE1" s="41" t="inlineStr">
        <is>
          <t>2025-09-30</t>
        </is>
      </c>
      <c r="AF1" s="41" t="inlineStr">
        <is>
          <t>2025-10-15</t>
        </is>
      </c>
      <c r="AG1" s="41" t="inlineStr">
        <is>
          <t>2025-10-31</t>
        </is>
      </c>
      <c r="AH1" s="41" t="inlineStr">
        <is>
          <t>2025-11-15</t>
        </is>
      </c>
      <c r="AI1" s="41" t="inlineStr">
        <is>
          <t>2025-11-30</t>
        </is>
      </c>
      <c r="AJ1" s="41" t="inlineStr">
        <is>
          <t>2025-12-15</t>
        </is>
      </c>
      <c r="AK1" s="41" t="inlineStr">
        <is>
          <t>2025-12-31</t>
        </is>
      </c>
      <c r="AL1" s="41" t="inlineStr">
        <is>
          <t>2026-01-15</t>
        </is>
      </c>
      <c r="AM1" s="41" t="inlineStr">
        <is>
          <t>2026-01-31</t>
        </is>
      </c>
      <c r="AN1" s="41" t="inlineStr">
        <is>
          <t>2026-02-15</t>
        </is>
      </c>
      <c r="AO1" s="41" t="inlineStr">
        <is>
          <t>2026-02-28</t>
        </is>
      </c>
      <c r="AP1" s="41" t="inlineStr">
        <is>
          <t>2026-03-15</t>
        </is>
      </c>
      <c r="AQ1" s="41" t="inlineStr">
        <is>
          <t>2026-03-31</t>
        </is>
      </c>
      <c r="AR1" s="41" t="inlineStr">
        <is>
          <t>2026-04-15</t>
        </is>
      </c>
      <c r="AS1" s="41" t="inlineStr">
        <is>
          <t>2026-04-30</t>
        </is>
      </c>
      <c r="AT1" s="41" t="inlineStr">
        <is>
          <t>2026-05-15</t>
        </is>
      </c>
      <c r="AU1" s="41" t="inlineStr">
        <is>
          <t>2026-05-31</t>
        </is>
      </c>
      <c r="AV1" s="41" t="inlineStr">
        <is>
          <t>2026-06-15</t>
        </is>
      </c>
      <c r="AW1" s="41" t="inlineStr">
        <is>
          <t>2026-06-30</t>
        </is>
      </c>
      <c r="AX1" s="41" t="inlineStr">
        <is>
          <t>2026-07-15</t>
        </is>
      </c>
      <c r="AY1" s="41" t="inlineStr">
        <is>
          <t>2026-07-31</t>
        </is>
      </c>
      <c r="AZ1" s="41" t="inlineStr">
        <is>
          <t>2026-08-15</t>
        </is>
      </c>
      <c r="BA1" s="41" t="inlineStr">
        <is>
          <t>2026-08-31</t>
        </is>
      </c>
      <c r="BB1" s="41" t="inlineStr">
        <is>
          <t>2026-09-15</t>
        </is>
      </c>
      <c r="BC1" s="41" t="inlineStr">
        <is>
          <t>2026-09-30</t>
        </is>
      </c>
    </row>
    <row r="2">
      <c r="A2" t="inlineStr">
        <is>
          <t>Automobile and Auto Components</t>
        </is>
      </c>
      <c r="E2" t="n">
        <v>-751</v>
      </c>
      <c r="F2" t="n">
        <v>-1983</v>
      </c>
      <c r="G2" t="n">
        <v>-123</v>
      </c>
      <c r="H2" t="n">
        <v>-8131</v>
      </c>
      <c r="I2" t="n">
        <v>-2309</v>
      </c>
      <c r="J2" t="n">
        <v>-4411</v>
      </c>
      <c r="K2" t="n">
        <v>-3053</v>
      </c>
      <c r="L2" t="n">
        <v>-1823</v>
      </c>
      <c r="M2" t="n">
        <v>-2548</v>
      </c>
      <c r="N2" t="n">
        <v>-1924</v>
      </c>
      <c r="O2" t="n">
        <v>-3899</v>
      </c>
      <c r="P2" t="n">
        <v>-690</v>
      </c>
      <c r="Q2" t="n">
        <v>-3279</v>
      </c>
      <c r="R2" t="n">
        <v>-3640</v>
      </c>
      <c r="S2" t="n">
        <v>776</v>
      </c>
      <c r="T2" t="n">
        <v>-2562</v>
      </c>
      <c r="U2" t="n">
        <v>-645</v>
      </c>
      <c r="V2" t="n">
        <v>1610</v>
      </c>
      <c r="W2" t="n">
        <v>-1509</v>
      </c>
      <c r="X2" t="n">
        <v>-296</v>
      </c>
      <c r="Y2" t="n">
        <v>5020</v>
      </c>
      <c r="Z2" t="n">
        <v>-1159</v>
      </c>
      <c r="AA2" t="n">
        <v>-2425</v>
      </c>
      <c r="AB2" t="n">
        <v>-814</v>
      </c>
      <c r="AC2" t="n">
        <v>2617</v>
      </c>
      <c r="AD2" t="n">
        <v>1908</v>
      </c>
      <c r="AE2" t="n">
        <v>1733</v>
      </c>
      <c r="AF2" t="n">
        <v>1560</v>
      </c>
      <c r="AG2" t="n">
        <v>-593</v>
      </c>
      <c r="AH2" t="n">
        <v>-385</v>
      </c>
      <c r="AI2" t="n">
        <v>-1257</v>
      </c>
      <c r="AJ2" t="n">
        <v>611</v>
      </c>
      <c r="AK2" t="n">
        <v>-2656</v>
      </c>
      <c r="AL2" t="n">
        <v>-500</v>
      </c>
      <c r="AM2" t="n">
        <v>-3094</v>
      </c>
      <c r="AN2" t="n">
        <v>511</v>
      </c>
      <c r="AO2" t="n">
        <v>3075</v>
      </c>
      <c r="AP2" t="n">
        <v>-4807</v>
      </c>
      <c r="AQ2" t="n">
        <v>-7691</v>
      </c>
      <c r="AR2" t="n">
        <v>-3704</v>
      </c>
      <c r="AS2" t="n">
        <v>-1775</v>
      </c>
      <c r="AT2" t="n">
        <v>-357</v>
      </c>
      <c r="AU2" t="n">
        <v>-2175</v>
      </c>
      <c r="AV2" t="n">
        <v>-9044</v>
      </c>
      <c r="AW2" t="n">
        <v>-1324</v>
      </c>
      <c r="AX2" t="n">
        <v>-6936</v>
      </c>
      <c r="AY2" t="n">
        <v>2372</v>
      </c>
      <c r="AZ2" t="n">
        <v>4405</v>
      </c>
      <c r="BA2" t="n">
        <v>-1299</v>
      </c>
      <c r="BB2" t="n">
        <v>-2670</v>
      </c>
      <c r="BC2" t="n">
        <v>-3542</v>
      </c>
    </row>
    <row r="3">
      <c r="A3" t="inlineStr">
        <is>
          <t>Capital Goods</t>
        </is>
      </c>
      <c r="B3" t="n">
        <v>3612</v>
      </c>
      <c r="C3" t="n">
        <v>1315</v>
      </c>
      <c r="D3" t="n">
        <v>-1089</v>
      </c>
      <c r="E3" t="n">
        <v>780</v>
      </c>
      <c r="F3" t="n">
        <v>1778</v>
      </c>
      <c r="G3" t="n">
        <v>2224</v>
      </c>
      <c r="H3" t="n">
        <v>-853</v>
      </c>
      <c r="I3" t="n">
        <v>-1933</v>
      </c>
      <c r="J3" t="n">
        <v>-1004</v>
      </c>
      <c r="K3" t="n">
        <v>681</v>
      </c>
      <c r="L3" t="n">
        <v>2657</v>
      </c>
      <c r="M3" t="n">
        <v>471</v>
      </c>
      <c r="N3" t="n">
        <v>-2620</v>
      </c>
      <c r="O3" t="n">
        <v>-3077</v>
      </c>
      <c r="P3" t="n">
        <v>-3206</v>
      </c>
      <c r="Q3" t="n">
        <v>-1258</v>
      </c>
      <c r="R3" t="n">
        <v>-1912</v>
      </c>
      <c r="S3" t="n">
        <v>1613</v>
      </c>
      <c r="T3" t="n">
        <v>-3019</v>
      </c>
      <c r="U3" t="n">
        <v>2944</v>
      </c>
      <c r="V3" t="n">
        <v>2233</v>
      </c>
      <c r="W3" t="n">
        <v>3094</v>
      </c>
      <c r="X3" t="n">
        <v>1191</v>
      </c>
      <c r="Y3" t="n">
        <v>-3022</v>
      </c>
      <c r="Z3" t="n">
        <v>922</v>
      </c>
      <c r="AA3" t="n">
        <v>-617</v>
      </c>
      <c r="AB3" t="n">
        <v>1132</v>
      </c>
      <c r="AC3" t="n">
        <v>764</v>
      </c>
      <c r="AD3" t="n">
        <v>1518</v>
      </c>
      <c r="AE3" t="n">
        <v>1492</v>
      </c>
      <c r="AF3" t="n">
        <v>-851</v>
      </c>
      <c r="AG3" t="n">
        <v>169</v>
      </c>
      <c r="AH3" t="n">
        <v>788</v>
      </c>
      <c r="AI3" t="n">
        <v>1707</v>
      </c>
      <c r="AJ3" t="n">
        <v>-1218</v>
      </c>
      <c r="AK3" t="n">
        <v>-1348</v>
      </c>
      <c r="AL3" t="n">
        <v>326</v>
      </c>
      <c r="AM3" t="n">
        <v>2435</v>
      </c>
      <c r="AN3" t="n">
        <v>8032</v>
      </c>
      <c r="AO3" t="n">
        <v>4103</v>
      </c>
      <c r="AP3" t="n">
        <v>3897</v>
      </c>
      <c r="AQ3" t="n">
        <v>-749</v>
      </c>
      <c r="AR3" t="n">
        <v>-328</v>
      </c>
      <c r="AS3" t="n">
        <v>4667</v>
      </c>
      <c r="AT3" t="n">
        <v>2645</v>
      </c>
      <c r="AU3" t="n">
        <v>154</v>
      </c>
      <c r="AV3" t="n">
        <v>-2586</v>
      </c>
      <c r="AW3" t="n">
        <v>-1442</v>
      </c>
      <c r="AX3" t="n">
        <v>-2657</v>
      </c>
      <c r="AY3" t="n">
        <v>-3618</v>
      </c>
      <c r="AZ3" t="n">
        <v>-1556</v>
      </c>
      <c r="BA3" t="n">
        <v>2162</v>
      </c>
      <c r="BB3" t="n">
        <v>-108</v>
      </c>
      <c r="BC3" t="n">
        <v>-1353</v>
      </c>
    </row>
    <row r="4">
      <c r="A4" t="inlineStr">
        <is>
          <t>Chemicals</t>
        </is>
      </c>
      <c r="B4" t="n">
        <v>-118</v>
      </c>
      <c r="C4" t="n">
        <v>-394</v>
      </c>
      <c r="D4" t="n">
        <v>-204</v>
      </c>
      <c r="E4" t="n">
        <v>182</v>
      </c>
      <c r="F4" t="n">
        <v>699</v>
      </c>
      <c r="G4" t="n">
        <v>746</v>
      </c>
      <c r="H4" t="n">
        <v>552</v>
      </c>
      <c r="I4" t="n">
        <v>31</v>
      </c>
      <c r="J4" t="n">
        <v>210</v>
      </c>
      <c r="K4" t="n">
        <v>-197</v>
      </c>
      <c r="L4" t="n">
        <v>646</v>
      </c>
      <c r="M4" t="n">
        <v>-46</v>
      </c>
      <c r="N4" t="n">
        <v>42</v>
      </c>
      <c r="O4" t="n">
        <v>313</v>
      </c>
      <c r="P4" t="n">
        <v>337</v>
      </c>
      <c r="Q4" t="n">
        <v>92</v>
      </c>
      <c r="R4" t="n">
        <v>-129</v>
      </c>
      <c r="S4" t="n">
        <v>620</v>
      </c>
      <c r="T4" t="n">
        <v>-309</v>
      </c>
      <c r="U4" t="n">
        <v>1184</v>
      </c>
      <c r="V4" t="n">
        <v>833</v>
      </c>
      <c r="W4" t="n">
        <v>475</v>
      </c>
      <c r="X4" t="n">
        <v>1405</v>
      </c>
      <c r="Y4" t="n">
        <v>987</v>
      </c>
      <c r="Z4" t="n">
        <v>168</v>
      </c>
      <c r="AA4" t="n">
        <v>961</v>
      </c>
      <c r="AB4" t="n">
        <v>410</v>
      </c>
      <c r="AC4" t="n">
        <v>1161</v>
      </c>
      <c r="AD4" t="n">
        <v>23</v>
      </c>
      <c r="AE4" t="n">
        <v>-406</v>
      </c>
      <c r="AF4" t="n">
        <v>-316</v>
      </c>
      <c r="AG4" t="n">
        <v>-608</v>
      </c>
      <c r="AH4" t="n">
        <v>-518</v>
      </c>
      <c r="AI4" t="n">
        <v>-660</v>
      </c>
      <c r="AJ4" t="n">
        <v>-23</v>
      </c>
      <c r="AK4" t="n">
        <v>-25</v>
      </c>
      <c r="AL4" t="n">
        <v>69</v>
      </c>
      <c r="AM4" t="n">
        <v>71</v>
      </c>
      <c r="AN4" t="n">
        <v>642</v>
      </c>
      <c r="AO4" t="n">
        <v>-394</v>
      </c>
      <c r="AP4" t="n">
        <v>225</v>
      </c>
      <c r="AQ4" t="n">
        <v>-457</v>
      </c>
      <c r="AR4" t="n">
        <v>-266</v>
      </c>
      <c r="AS4" t="n">
        <v>-121</v>
      </c>
      <c r="AT4" t="n">
        <v>-700</v>
      </c>
      <c r="AU4" t="n">
        <v>90</v>
      </c>
      <c r="AV4" t="n">
        <v>-773</v>
      </c>
      <c r="AW4" t="n">
        <v>-514</v>
      </c>
      <c r="AX4" t="n">
        <v>-114</v>
      </c>
      <c r="AY4" t="n">
        <v>532</v>
      </c>
      <c r="AZ4" t="n">
        <v>315</v>
      </c>
      <c r="BA4" t="n">
        <v>543</v>
      </c>
      <c r="BB4" t="n">
        <v>228</v>
      </c>
      <c r="BC4" t="n">
        <v>-133</v>
      </c>
    </row>
    <row r="5">
      <c r="A5" t="inlineStr">
        <is>
          <t>Construction</t>
        </is>
      </c>
      <c r="B5" t="n">
        <v>-902</v>
      </c>
      <c r="C5" t="n">
        <v>-627</v>
      </c>
      <c r="D5" t="n">
        <v>-699</v>
      </c>
      <c r="E5" t="n">
        <v>-59</v>
      </c>
      <c r="F5" t="n">
        <v>584</v>
      </c>
      <c r="G5" t="n">
        <v>511</v>
      </c>
      <c r="H5" t="n">
        <v>-1723</v>
      </c>
      <c r="I5" t="n">
        <v>-2927</v>
      </c>
      <c r="J5" t="n">
        <v>1917</v>
      </c>
      <c r="K5" t="n">
        <v>89</v>
      </c>
      <c r="L5" t="n">
        <v>1148</v>
      </c>
      <c r="M5" t="n">
        <v>260</v>
      </c>
      <c r="N5" t="n">
        <v>-1623</v>
      </c>
      <c r="O5" t="n">
        <v>-1256</v>
      </c>
      <c r="P5" t="n">
        <v>-1886</v>
      </c>
      <c r="Q5" t="n">
        <v>-1465</v>
      </c>
      <c r="R5" t="n">
        <v>-864</v>
      </c>
      <c r="S5" t="n">
        <v>615</v>
      </c>
      <c r="T5" t="n">
        <v>-2461</v>
      </c>
      <c r="U5" t="n">
        <v>-425</v>
      </c>
      <c r="V5" t="n">
        <v>-190</v>
      </c>
      <c r="W5" t="n">
        <v>457</v>
      </c>
      <c r="X5" t="n">
        <v>-224</v>
      </c>
      <c r="Y5" t="n">
        <v>-14</v>
      </c>
      <c r="Z5" t="n">
        <v>-38</v>
      </c>
      <c r="AA5" t="n">
        <v>-1316</v>
      </c>
      <c r="AB5" t="n">
        <v>1378</v>
      </c>
      <c r="AC5" t="n">
        <v>-22</v>
      </c>
      <c r="AD5" t="n">
        <v>130</v>
      </c>
      <c r="AE5" t="n">
        <v>726</v>
      </c>
      <c r="AF5" t="n">
        <v>641</v>
      </c>
      <c r="AG5" t="n">
        <v>1592</v>
      </c>
      <c r="AH5" t="n">
        <v>-330</v>
      </c>
      <c r="AI5" t="n">
        <v>-112</v>
      </c>
      <c r="AJ5" t="n">
        <v>-175</v>
      </c>
      <c r="AK5" t="n">
        <v>382</v>
      </c>
      <c r="AL5" t="n">
        <v>-455</v>
      </c>
      <c r="AM5" t="n">
        <v>-1077</v>
      </c>
      <c r="AN5" t="n">
        <v>1745</v>
      </c>
      <c r="AO5" t="n">
        <v>2742</v>
      </c>
      <c r="AP5" t="n">
        <v>-2975</v>
      </c>
      <c r="AQ5" t="n">
        <v>-6179</v>
      </c>
      <c r="AR5" t="n">
        <v>-1273</v>
      </c>
      <c r="AS5" t="n">
        <v>2199</v>
      </c>
      <c r="AT5" t="n">
        <v>-991</v>
      </c>
      <c r="AU5" t="n">
        <v>-220</v>
      </c>
      <c r="AV5" t="n">
        <v>-603</v>
      </c>
      <c r="AW5" t="n">
        <v>3484</v>
      </c>
      <c r="AX5" t="n">
        <v>403</v>
      </c>
      <c r="AY5" t="n">
        <v>-1602</v>
      </c>
      <c r="AZ5" t="n">
        <v>-404</v>
      </c>
      <c r="BA5" t="n">
        <v>442</v>
      </c>
      <c r="BB5" t="n">
        <v>930</v>
      </c>
      <c r="BC5" t="n">
        <v>381</v>
      </c>
    </row>
    <row r="6">
      <c r="A6" t="inlineStr">
        <is>
          <t>Construction Materials</t>
        </is>
      </c>
      <c r="B6" t="n">
        <v>194</v>
      </c>
      <c r="C6" t="n">
        <v>486</v>
      </c>
      <c r="D6" t="n">
        <v>-2036</v>
      </c>
      <c r="E6" t="n">
        <v>894</v>
      </c>
      <c r="F6" t="n">
        <v>-393</v>
      </c>
      <c r="G6" t="n">
        <v>-508</v>
      </c>
      <c r="H6" t="n">
        <v>-1426</v>
      </c>
      <c r="I6" t="n">
        <v>-2014</v>
      </c>
      <c r="J6" t="n">
        <v>-802</v>
      </c>
      <c r="K6" t="n">
        <v>-1913</v>
      </c>
      <c r="L6" t="n">
        <v>-174</v>
      </c>
      <c r="M6" t="n">
        <v>-196</v>
      </c>
      <c r="N6" t="n">
        <v>-793</v>
      </c>
      <c r="O6" t="n">
        <v>-1277</v>
      </c>
      <c r="P6" t="n">
        <v>-2024</v>
      </c>
      <c r="Q6" t="n">
        <v>-1820</v>
      </c>
      <c r="R6" t="n">
        <v>-1465</v>
      </c>
      <c r="S6" t="n">
        <v>-132</v>
      </c>
      <c r="T6" t="n">
        <v>-612</v>
      </c>
      <c r="U6" t="n">
        <v>415</v>
      </c>
      <c r="V6" t="n">
        <v>155</v>
      </c>
      <c r="W6" t="n">
        <v>420</v>
      </c>
      <c r="X6" t="n">
        <v>-584</v>
      </c>
      <c r="Y6" t="n">
        <v>842</v>
      </c>
      <c r="Z6" t="n">
        <v>136</v>
      </c>
      <c r="AA6" t="n">
        <v>193</v>
      </c>
      <c r="AB6" t="n">
        <v>1690</v>
      </c>
      <c r="AC6" t="n">
        <v>785</v>
      </c>
      <c r="AD6" t="n">
        <v>-1193</v>
      </c>
      <c r="AE6" t="n">
        <v>-220</v>
      </c>
      <c r="AF6" t="n">
        <v>-94</v>
      </c>
      <c r="AG6" t="n">
        <v>-1198</v>
      </c>
      <c r="AH6" t="n">
        <v>-369</v>
      </c>
      <c r="AI6" t="n">
        <v>-492</v>
      </c>
      <c r="AJ6" t="n">
        <v>-1125</v>
      </c>
      <c r="AK6" t="n">
        <v>-549</v>
      </c>
      <c r="AL6" t="n">
        <v>-481</v>
      </c>
      <c r="AM6" t="n">
        <v>-376</v>
      </c>
      <c r="AN6" t="n">
        <v>378</v>
      </c>
      <c r="AO6" t="n">
        <v>-57</v>
      </c>
      <c r="AP6" t="n">
        <v>-1492</v>
      </c>
      <c r="AQ6" t="n">
        <v>-1652</v>
      </c>
      <c r="AR6" t="n">
        <v>-601</v>
      </c>
      <c r="AS6" t="n">
        <v>-670</v>
      </c>
      <c r="AT6" t="n">
        <v>-1207</v>
      </c>
      <c r="AU6" t="n">
        <v>-434</v>
      </c>
      <c r="AV6" t="n">
        <v>-2426</v>
      </c>
      <c r="AW6" t="n">
        <v>-650</v>
      </c>
      <c r="AX6" t="n">
        <v>1574</v>
      </c>
      <c r="AY6" t="n">
        <v>871</v>
      </c>
      <c r="AZ6" t="n">
        <v>384</v>
      </c>
      <c r="BA6" t="n">
        <v>-250</v>
      </c>
      <c r="BB6" t="n">
        <v>-358</v>
      </c>
      <c r="BC6" t="n">
        <v>-847</v>
      </c>
    </row>
    <row r="7">
      <c r="A7" t="inlineStr">
        <is>
          <t>Consumer Durables</t>
        </is>
      </c>
      <c r="B7" t="n">
        <v>125</v>
      </c>
      <c r="C7" t="n">
        <v>-313</v>
      </c>
      <c r="D7" t="n">
        <v>-584</v>
      </c>
      <c r="E7" t="n">
        <v>5297</v>
      </c>
      <c r="F7" t="n">
        <v>2226</v>
      </c>
      <c r="G7" t="n">
        <v>1510</v>
      </c>
      <c r="H7" t="n">
        <v>-846</v>
      </c>
      <c r="I7" t="n">
        <v>-2017</v>
      </c>
      <c r="J7" t="n">
        <v>-433</v>
      </c>
      <c r="K7" t="n">
        <v>426</v>
      </c>
      <c r="L7" t="n">
        <v>-748</v>
      </c>
      <c r="M7" t="n">
        <v>-152</v>
      </c>
      <c r="N7" t="n">
        <v>-931</v>
      </c>
      <c r="O7" t="n">
        <v>-2869</v>
      </c>
      <c r="P7" t="n">
        <v>-1049</v>
      </c>
      <c r="Q7" t="n">
        <v>-1241</v>
      </c>
      <c r="R7" t="n">
        <v>-1566</v>
      </c>
      <c r="S7" t="n">
        <v>48</v>
      </c>
      <c r="T7" t="n">
        <v>-1026</v>
      </c>
      <c r="U7" t="n">
        <v>965</v>
      </c>
      <c r="V7" t="n">
        <v>-622</v>
      </c>
      <c r="W7" t="n">
        <v>-1112</v>
      </c>
      <c r="X7" t="n">
        <v>-1893</v>
      </c>
      <c r="Y7" t="n">
        <v>-600</v>
      </c>
      <c r="Z7" t="n">
        <v>-1292</v>
      </c>
      <c r="AA7" t="n">
        <v>-1322</v>
      </c>
      <c r="AB7" t="n">
        <v>-1133</v>
      </c>
      <c r="AC7" t="n">
        <v>-836</v>
      </c>
      <c r="AD7" t="n">
        <v>-326</v>
      </c>
      <c r="AE7" t="n">
        <v>-3301</v>
      </c>
      <c r="AF7" t="n">
        <v>-213</v>
      </c>
      <c r="AG7" t="n">
        <v>-1543</v>
      </c>
      <c r="AH7" t="n">
        <v>-1379</v>
      </c>
      <c r="AI7" t="n">
        <v>1273</v>
      </c>
      <c r="AJ7" t="n">
        <v>401</v>
      </c>
      <c r="AK7" t="n">
        <v>198</v>
      </c>
      <c r="AL7" t="n">
        <v>322</v>
      </c>
      <c r="AM7" t="n">
        <v>-1372</v>
      </c>
      <c r="AN7" t="n">
        <v>-434</v>
      </c>
      <c r="AO7" t="n">
        <v>-322</v>
      </c>
      <c r="AP7" t="n">
        <v>-1727</v>
      </c>
      <c r="AQ7" t="n">
        <v>-1175</v>
      </c>
      <c r="AR7" t="n">
        <v>-361</v>
      </c>
      <c r="AS7" t="n">
        <v>441</v>
      </c>
      <c r="AT7" t="n">
        <v>-1162</v>
      </c>
      <c r="AU7" t="n">
        <v>-287</v>
      </c>
      <c r="AV7" t="n">
        <v>-634</v>
      </c>
      <c r="AW7" t="n">
        <v>2564</v>
      </c>
      <c r="AX7" t="n">
        <v>2384</v>
      </c>
      <c r="AY7" t="n">
        <v>4958</v>
      </c>
      <c r="AZ7" t="n">
        <v>1472</v>
      </c>
      <c r="BA7" t="n">
        <v>2431</v>
      </c>
      <c r="BB7" t="n">
        <v>-397</v>
      </c>
      <c r="BC7" t="n">
        <v>-1508</v>
      </c>
    </row>
    <row r="8">
      <c r="A8" t="inlineStr">
        <is>
          <t>Consumer Services</t>
        </is>
      </c>
      <c r="B8" t="n">
        <v>1642</v>
      </c>
      <c r="C8" t="n">
        <v>1787</v>
      </c>
      <c r="D8" t="n">
        <v>2196</v>
      </c>
      <c r="E8" t="n">
        <v>1962</v>
      </c>
      <c r="F8" t="n">
        <v>-156</v>
      </c>
      <c r="G8" t="n">
        <v>-2784</v>
      </c>
      <c r="H8" t="n">
        <v>-4633</v>
      </c>
      <c r="I8" t="n">
        <v>-4230</v>
      </c>
      <c r="J8" t="n">
        <v>-629</v>
      </c>
      <c r="K8" t="n">
        <v>471</v>
      </c>
      <c r="L8" t="n">
        <v>2715</v>
      </c>
      <c r="M8" t="n">
        <v>505</v>
      </c>
      <c r="N8" t="n">
        <v>-3507</v>
      </c>
      <c r="O8" t="n">
        <v>-4840</v>
      </c>
      <c r="P8" t="n">
        <v>-2262</v>
      </c>
      <c r="Q8" t="n">
        <v>-595</v>
      </c>
      <c r="R8" t="n">
        <v>-1900</v>
      </c>
      <c r="S8" t="n">
        <v>-1158</v>
      </c>
      <c r="T8" t="n">
        <v>-166</v>
      </c>
      <c r="U8" t="n">
        <v>1963</v>
      </c>
      <c r="V8" t="n">
        <v>1240</v>
      </c>
      <c r="W8" t="n">
        <v>-1731</v>
      </c>
      <c r="X8" t="n">
        <v>-1461</v>
      </c>
      <c r="Y8" t="n">
        <v>2809</v>
      </c>
      <c r="Z8" t="n">
        <v>953</v>
      </c>
      <c r="AA8" t="n">
        <v>2064</v>
      </c>
      <c r="AB8" t="n">
        <v>-948</v>
      </c>
      <c r="AC8" t="n">
        <v>490</v>
      </c>
      <c r="AD8" t="n">
        <v>-3246</v>
      </c>
      <c r="AE8" t="n">
        <v>-114</v>
      </c>
      <c r="AF8" t="n">
        <v>-1785</v>
      </c>
      <c r="AG8" t="n">
        <v>-1677</v>
      </c>
      <c r="AH8" t="n">
        <v>-2918</v>
      </c>
      <c r="AI8" t="n">
        <v>-1075</v>
      </c>
      <c r="AJ8" t="n">
        <v>-50</v>
      </c>
      <c r="AK8" t="n">
        <v>3390</v>
      </c>
      <c r="AL8" t="n">
        <v>-1952</v>
      </c>
      <c r="AM8" t="n">
        <v>-3561</v>
      </c>
      <c r="AN8" t="n">
        <v>1066</v>
      </c>
      <c r="AO8" t="n">
        <v>-5238</v>
      </c>
      <c r="AP8" t="n">
        <v>531</v>
      </c>
      <c r="AQ8" t="n">
        <v>-2672</v>
      </c>
      <c r="AR8" t="n">
        <v>-5336</v>
      </c>
      <c r="AS8" t="n">
        <v>-2434</v>
      </c>
      <c r="AT8" t="n">
        <v>-365</v>
      </c>
      <c r="AU8" t="n">
        <v>-1630</v>
      </c>
      <c r="AV8" t="n">
        <v>-1852</v>
      </c>
      <c r="AW8" t="n">
        <v>3081</v>
      </c>
      <c r="AX8" t="n">
        <v>7361</v>
      </c>
      <c r="AY8" t="n">
        <v>2840</v>
      </c>
      <c r="AZ8" t="n">
        <v>3398</v>
      </c>
      <c r="BA8" t="n">
        <v>5019</v>
      </c>
      <c r="BB8" t="n">
        <v>422</v>
      </c>
      <c r="BC8" t="n">
        <v>1911</v>
      </c>
    </row>
    <row r="9">
      <c r="A9" t="inlineStr">
        <is>
          <t>Diversified</t>
        </is>
      </c>
      <c r="B9" t="n">
        <v>316</v>
      </c>
      <c r="C9" t="n">
        <v>54</v>
      </c>
      <c r="D9" t="n">
        <v>-69</v>
      </c>
      <c r="E9" t="n">
        <v>15</v>
      </c>
      <c r="F9" t="n">
        <v>13</v>
      </c>
      <c r="G9" t="n">
        <v>-21</v>
      </c>
      <c r="H9" t="n">
        <v>21</v>
      </c>
      <c r="I9" t="n">
        <v>0</v>
      </c>
      <c r="J9" t="n">
        <v>-17</v>
      </c>
      <c r="K9" t="n">
        <v>-6</v>
      </c>
      <c r="L9" t="n">
        <v>-96</v>
      </c>
      <c r="M9" t="n">
        <v>-101</v>
      </c>
      <c r="N9" t="n">
        <v>-60</v>
      </c>
      <c r="O9" t="n">
        <v>287</v>
      </c>
      <c r="P9" t="n">
        <v>-2</v>
      </c>
      <c r="Q9" t="n">
        <v>-249</v>
      </c>
      <c r="R9" t="n">
        <v>-279</v>
      </c>
      <c r="S9" t="n">
        <v>-38</v>
      </c>
      <c r="T9" t="n">
        <v>28</v>
      </c>
      <c r="U9" t="n">
        <v>5</v>
      </c>
      <c r="V9" t="n">
        <v>-1</v>
      </c>
      <c r="W9" t="n">
        <v>-111</v>
      </c>
      <c r="X9" t="n">
        <v>-353</v>
      </c>
      <c r="Y9" t="n">
        <v>-102</v>
      </c>
      <c r="Z9" t="n">
        <v>-22</v>
      </c>
      <c r="AA9" t="n">
        <v>-35</v>
      </c>
      <c r="AB9" t="n">
        <v>-58</v>
      </c>
      <c r="AC9" t="n">
        <v>-55</v>
      </c>
      <c r="AD9" t="n">
        <v>-34</v>
      </c>
      <c r="AE9" t="n">
        <v>-186</v>
      </c>
      <c r="AF9" t="n">
        <v>-34</v>
      </c>
      <c r="AG9" t="n">
        <v>-70</v>
      </c>
      <c r="AH9" t="n">
        <v>46</v>
      </c>
      <c r="AI9" t="n">
        <v>10</v>
      </c>
      <c r="AJ9" t="n">
        <v>-80</v>
      </c>
      <c r="AK9" t="n">
        <v>-29</v>
      </c>
      <c r="AL9" t="n">
        <v>-14</v>
      </c>
      <c r="AM9" t="n">
        <v>5</v>
      </c>
      <c r="AN9" t="n">
        <v>-2</v>
      </c>
      <c r="AO9" t="n">
        <v>2</v>
      </c>
      <c r="AP9" t="n">
        <v>0</v>
      </c>
      <c r="AQ9" t="n">
        <v>-21</v>
      </c>
      <c r="AR9" t="n">
        <v>5</v>
      </c>
      <c r="AS9" t="n">
        <v>3</v>
      </c>
      <c r="AT9" t="n">
        <v>33</v>
      </c>
      <c r="AU9" t="n">
        <v>-14</v>
      </c>
      <c r="AV9" t="n">
        <v>-13</v>
      </c>
      <c r="AW9" t="n">
        <v>7</v>
      </c>
      <c r="AX9" t="n">
        <v>29</v>
      </c>
      <c r="AY9" t="n">
        <v>-1</v>
      </c>
      <c r="AZ9" t="n">
        <v>-18</v>
      </c>
      <c r="BA9" t="n">
        <v>-4</v>
      </c>
      <c r="BB9" t="n">
        <v>-23</v>
      </c>
      <c r="BC9" t="n">
        <v>115</v>
      </c>
    </row>
    <row r="10">
      <c r="A10" t="inlineStr">
        <is>
          <t>Fast Moving Consumer Goods</t>
        </is>
      </c>
      <c r="B10" t="n">
        <v>1809</v>
      </c>
      <c r="C10" t="n">
        <v>-834</v>
      </c>
      <c r="D10" t="n">
        <v>1785</v>
      </c>
      <c r="E10" t="n">
        <v>1815</v>
      </c>
      <c r="F10" t="n">
        <v>1372</v>
      </c>
      <c r="G10" t="n">
        <v>3528</v>
      </c>
      <c r="H10" t="n">
        <v>-6818</v>
      </c>
      <c r="I10" t="n">
        <v>-4764</v>
      </c>
      <c r="J10" t="n">
        <v>-3589</v>
      </c>
      <c r="K10" t="n">
        <v>2184</v>
      </c>
      <c r="L10" t="n">
        <v>-1655</v>
      </c>
      <c r="M10" t="n">
        <v>-1134</v>
      </c>
      <c r="N10" t="n">
        <v>-1134</v>
      </c>
      <c r="O10" t="n">
        <v>-4294</v>
      </c>
      <c r="P10" t="n">
        <v>-4336</v>
      </c>
      <c r="Q10" t="n">
        <v>-2568</v>
      </c>
      <c r="R10" t="n">
        <v>-5106</v>
      </c>
      <c r="S10" t="n">
        <v>-487</v>
      </c>
      <c r="T10" t="n">
        <v>587</v>
      </c>
      <c r="U10" t="n">
        <v>2330</v>
      </c>
      <c r="V10" t="n">
        <v>-1057</v>
      </c>
      <c r="W10" t="n">
        <v>1872</v>
      </c>
      <c r="X10" t="n">
        <v>-3626</v>
      </c>
      <c r="Y10" t="n">
        <v>-359</v>
      </c>
      <c r="Z10" t="n">
        <v>-1428</v>
      </c>
      <c r="AA10" t="n">
        <v>2986</v>
      </c>
      <c r="AB10" t="n">
        <v>-1150</v>
      </c>
      <c r="AC10" t="n">
        <v>53</v>
      </c>
      <c r="AD10" t="n">
        <v>-1092</v>
      </c>
      <c r="AE10" t="n">
        <v>-3110</v>
      </c>
      <c r="AF10" t="n">
        <v>-2992</v>
      </c>
      <c r="AG10" t="n">
        <v>-1267</v>
      </c>
      <c r="AH10" t="n">
        <v>-2042</v>
      </c>
      <c r="AI10" t="n">
        <v>-2722</v>
      </c>
      <c r="AJ10" t="n">
        <v>-1419</v>
      </c>
      <c r="AK10" t="n">
        <v>-4425</v>
      </c>
      <c r="AL10" t="n">
        <v>-6128</v>
      </c>
      <c r="AM10" t="n">
        <v>-1369</v>
      </c>
      <c r="AN10" t="n">
        <v>-1182</v>
      </c>
      <c r="AO10" t="n">
        <v>-769</v>
      </c>
      <c r="AP10" t="n">
        <v>-2403</v>
      </c>
      <c r="AQ10" t="n">
        <v>-3016</v>
      </c>
      <c r="AR10" t="n">
        <v>-2976</v>
      </c>
      <c r="AS10" t="n">
        <v>-229</v>
      </c>
      <c r="AT10" t="n">
        <v>-1625</v>
      </c>
      <c r="AU10" t="n">
        <v>-1936</v>
      </c>
      <c r="AV10" t="n">
        <v>-5063</v>
      </c>
      <c r="AW10" t="n">
        <v>-474</v>
      </c>
      <c r="AX10" t="n">
        <v>-1106</v>
      </c>
      <c r="AY10" t="n">
        <v>478</v>
      </c>
      <c r="AZ10" t="n">
        <v>-189</v>
      </c>
      <c r="BA10" t="n">
        <v>-1727</v>
      </c>
      <c r="BB10" t="n">
        <v>-2029</v>
      </c>
      <c r="BC10" t="n">
        <v>-972</v>
      </c>
    </row>
    <row r="11">
      <c r="A11" t="inlineStr">
        <is>
          <t>Financial Services</t>
        </is>
      </c>
      <c r="B11" t="n">
        <v>471</v>
      </c>
      <c r="C11" t="n">
        <v>-8119</v>
      </c>
      <c r="D11" t="n">
        <v>-14790</v>
      </c>
      <c r="E11" t="n">
        <v>2782</v>
      </c>
      <c r="F11" t="n">
        <v>12253</v>
      </c>
      <c r="G11" t="n">
        <v>14947</v>
      </c>
      <c r="H11" t="n">
        <v>-23274</v>
      </c>
      <c r="I11" t="n">
        <v>-2865</v>
      </c>
      <c r="J11" t="n">
        <v>-7092</v>
      </c>
      <c r="K11" t="n">
        <v>9597</v>
      </c>
      <c r="L11" t="n">
        <v>7424</v>
      </c>
      <c r="M11" t="n">
        <v>-4338</v>
      </c>
      <c r="N11" t="n">
        <v>-12204</v>
      </c>
      <c r="O11" t="n">
        <v>-12745</v>
      </c>
      <c r="P11" t="n">
        <v>-5344</v>
      </c>
      <c r="Q11" t="n">
        <v>-1647</v>
      </c>
      <c r="R11" t="n">
        <v>-3311</v>
      </c>
      <c r="S11" t="n">
        <v>17585</v>
      </c>
      <c r="T11" t="n">
        <v>-4501</v>
      </c>
      <c r="U11" t="n">
        <v>22910</v>
      </c>
      <c r="V11" t="n">
        <v>4728</v>
      </c>
      <c r="W11" t="n">
        <v>-700</v>
      </c>
      <c r="X11" t="n">
        <v>4685</v>
      </c>
      <c r="Y11" t="n">
        <v>4261</v>
      </c>
      <c r="Z11" t="n">
        <v>820</v>
      </c>
      <c r="AA11" t="n">
        <v>-6720</v>
      </c>
      <c r="AB11" t="n">
        <v>-13471</v>
      </c>
      <c r="AC11" t="n">
        <v>-9817</v>
      </c>
      <c r="AD11" t="n">
        <v>1634</v>
      </c>
      <c r="AE11" t="n">
        <v>-642</v>
      </c>
      <c r="AF11" t="n">
        <v>8276</v>
      </c>
      <c r="AG11" t="n">
        <v>5003</v>
      </c>
      <c r="AH11" t="n">
        <v>-2041</v>
      </c>
      <c r="AI11" t="n">
        <v>-1137</v>
      </c>
      <c r="AJ11" t="n">
        <v>-6516</v>
      </c>
      <c r="AK11" t="n">
        <v>-4009</v>
      </c>
      <c r="AL11" t="n">
        <v>-3190</v>
      </c>
      <c r="AM11" t="n">
        <v>-5402</v>
      </c>
      <c r="AN11" t="n">
        <v>6175</v>
      </c>
      <c r="AO11" t="n">
        <v>2243</v>
      </c>
      <c r="AP11" t="n">
        <v>-31831</v>
      </c>
      <c r="AQ11" t="n">
        <v>-28824</v>
      </c>
      <c r="AR11" t="n">
        <v>-19152</v>
      </c>
      <c r="AS11" t="n">
        <v>-11704</v>
      </c>
      <c r="AT11" t="n">
        <v>-17960</v>
      </c>
      <c r="AU11" t="n">
        <v>-5181</v>
      </c>
      <c r="AV11" t="n">
        <v>-11263</v>
      </c>
      <c r="AW11" t="n">
        <v>14634</v>
      </c>
      <c r="AX11" t="n">
        <v>1975</v>
      </c>
      <c r="AY11" t="n">
        <v>-2669</v>
      </c>
      <c r="AZ11" t="n">
        <v>6535</v>
      </c>
      <c r="BA11" t="n">
        <v>3959</v>
      </c>
      <c r="BB11" t="n">
        <v>-6204</v>
      </c>
      <c r="BC11" t="n">
        <v>-6943</v>
      </c>
    </row>
    <row r="12">
      <c r="A12" t="inlineStr">
        <is>
          <t>Forest Materials</t>
        </is>
      </c>
      <c r="B12" t="n">
        <v>43</v>
      </c>
      <c r="C12" t="n">
        <v>107</v>
      </c>
      <c r="D12" t="n">
        <v>-76</v>
      </c>
      <c r="E12" t="n">
        <v>-26</v>
      </c>
      <c r="F12" t="n">
        <v>72</v>
      </c>
      <c r="G12" t="n">
        <v>-14</v>
      </c>
      <c r="H12" t="n">
        <v>9</v>
      </c>
      <c r="I12" t="n">
        <v>-84</v>
      </c>
      <c r="J12" t="n">
        <v>45</v>
      </c>
      <c r="K12" t="n">
        <v>29</v>
      </c>
      <c r="L12" t="n">
        <v>32</v>
      </c>
      <c r="M12" t="n">
        <v>33</v>
      </c>
      <c r="N12" t="n">
        <v>-80</v>
      </c>
      <c r="O12" t="n">
        <v>-35</v>
      </c>
      <c r="P12" t="n">
        <v>11</v>
      </c>
      <c r="Q12" t="n">
        <v>-28</v>
      </c>
      <c r="R12" t="n">
        <v>-22</v>
      </c>
      <c r="S12" t="n">
        <v>40</v>
      </c>
      <c r="T12" t="n">
        <v>-19</v>
      </c>
      <c r="U12" t="n">
        <v>-15</v>
      </c>
      <c r="V12" t="n">
        <v>-12</v>
      </c>
      <c r="W12" t="n">
        <v>21</v>
      </c>
      <c r="X12" t="n">
        <v>-15</v>
      </c>
      <c r="Y12" t="n">
        <v>-27</v>
      </c>
      <c r="Z12" t="n">
        <v>14</v>
      </c>
      <c r="AA12" t="n">
        <v>25</v>
      </c>
      <c r="AB12" t="n">
        <v>-21</v>
      </c>
      <c r="AC12" t="n">
        <v>-27</v>
      </c>
      <c r="AD12" t="n">
        <v>-9</v>
      </c>
      <c r="AE12" t="n">
        <v>-15</v>
      </c>
      <c r="AF12" t="n">
        <v>77</v>
      </c>
      <c r="AG12" t="n">
        <v>17</v>
      </c>
      <c r="AH12" t="n">
        <v>-12</v>
      </c>
      <c r="AI12" t="n">
        <v>-19</v>
      </c>
      <c r="AJ12" t="n">
        <v>-54</v>
      </c>
      <c r="AK12" t="n">
        <v>0</v>
      </c>
      <c r="AL12" t="n">
        <v>-10</v>
      </c>
      <c r="AM12" t="n">
        <v>12</v>
      </c>
      <c r="AN12" t="n">
        <v>30</v>
      </c>
      <c r="AO12" t="n">
        <v>8</v>
      </c>
      <c r="AP12" t="n">
        <v>-4</v>
      </c>
      <c r="AQ12" t="n">
        <v>-13</v>
      </c>
      <c r="AR12" t="n">
        <v>-19</v>
      </c>
      <c r="AS12" t="n">
        <v>73</v>
      </c>
      <c r="AT12" t="n">
        <v>-41</v>
      </c>
      <c r="AU12" t="n">
        <v>1</v>
      </c>
      <c r="AV12" t="n">
        <v>-12</v>
      </c>
      <c r="AW12" t="n">
        <v>-12</v>
      </c>
      <c r="AX12" t="n">
        <v>-11</v>
      </c>
      <c r="AY12" t="n">
        <v>40</v>
      </c>
      <c r="AZ12" t="n">
        <v>-9</v>
      </c>
      <c r="BA12" t="n">
        <v>-7</v>
      </c>
      <c r="BB12" t="n">
        <v>7</v>
      </c>
      <c r="BC12" t="n">
        <v>6</v>
      </c>
    </row>
    <row r="13">
      <c r="A13" t="inlineStr">
        <is>
          <t>Healthcare</t>
        </is>
      </c>
      <c r="B13" t="n">
        <v>2378</v>
      </c>
      <c r="C13" t="n">
        <v>2676</v>
      </c>
      <c r="D13" t="n">
        <v>3462</v>
      </c>
      <c r="E13" t="n">
        <v>2369</v>
      </c>
      <c r="F13" t="n">
        <v>3652</v>
      </c>
      <c r="G13" t="n">
        <v>2987</v>
      </c>
      <c r="H13" t="n">
        <v>-2376</v>
      </c>
      <c r="I13" t="n">
        <v>2321</v>
      </c>
      <c r="J13" t="n">
        <v>734</v>
      </c>
      <c r="K13" t="n">
        <v>-254</v>
      </c>
      <c r="L13" t="n">
        <v>1917</v>
      </c>
      <c r="M13" t="n">
        <v>1850</v>
      </c>
      <c r="N13" t="n">
        <v>-1460</v>
      </c>
      <c r="O13" t="n">
        <v>-2912</v>
      </c>
      <c r="P13" t="n">
        <v>1534</v>
      </c>
      <c r="Q13" t="n">
        <v>-2996</v>
      </c>
      <c r="R13" t="n">
        <v>-2049</v>
      </c>
      <c r="S13" t="n">
        <v>2138</v>
      </c>
      <c r="T13" t="n">
        <v>-1384</v>
      </c>
      <c r="U13" t="n">
        <v>656</v>
      </c>
      <c r="V13" t="n">
        <v>-606</v>
      </c>
      <c r="W13" t="n">
        <v>-2008</v>
      </c>
      <c r="X13" t="n">
        <v>39</v>
      </c>
      <c r="Y13" t="n">
        <v>-442</v>
      </c>
      <c r="Z13" t="n">
        <v>-757</v>
      </c>
      <c r="AA13" t="n">
        <v>700</v>
      </c>
      <c r="AB13" t="n">
        <v>-2095</v>
      </c>
      <c r="AC13" t="n">
        <v>678</v>
      </c>
      <c r="AD13" t="n">
        <v>-1601</v>
      </c>
      <c r="AE13" t="n">
        <v>-4521</v>
      </c>
      <c r="AF13" t="n">
        <v>-2739</v>
      </c>
      <c r="AG13" t="n">
        <v>-365</v>
      </c>
      <c r="AH13" t="n">
        <v>-2526</v>
      </c>
      <c r="AI13" t="n">
        <v>743</v>
      </c>
      <c r="AJ13" t="n">
        <v>-2351</v>
      </c>
      <c r="AK13" t="n">
        <v>-643</v>
      </c>
      <c r="AL13" t="n">
        <v>-1049</v>
      </c>
      <c r="AM13" t="n">
        <v>-5113</v>
      </c>
      <c r="AN13" t="n">
        <v>-1051</v>
      </c>
      <c r="AO13" t="n">
        <v>722</v>
      </c>
      <c r="AP13" t="n">
        <v>-2436</v>
      </c>
      <c r="AQ13" t="n">
        <v>-2202</v>
      </c>
      <c r="AR13" t="n">
        <v>-4481</v>
      </c>
      <c r="AS13" t="n">
        <v>-2445</v>
      </c>
      <c r="AT13" t="n">
        <v>-418</v>
      </c>
      <c r="AU13" t="n">
        <v>601</v>
      </c>
      <c r="AV13" t="n">
        <v>-4501</v>
      </c>
      <c r="AW13" t="n">
        <v>1435</v>
      </c>
      <c r="AX13" t="n">
        <v>4101</v>
      </c>
      <c r="AY13" t="n">
        <v>3654</v>
      </c>
      <c r="AZ13" t="n">
        <v>2910</v>
      </c>
      <c r="BA13" t="n">
        <v>3021</v>
      </c>
      <c r="BB13" t="n">
        <v>2114</v>
      </c>
      <c r="BC13" t="n">
        <v>3</v>
      </c>
    </row>
    <row r="14">
      <c r="A14" t="inlineStr">
        <is>
          <t>Information Technology</t>
        </is>
      </c>
      <c r="B14" t="n">
        <v>2765</v>
      </c>
      <c r="C14" t="n">
        <v>8998</v>
      </c>
      <c r="D14" t="n">
        <v>-493</v>
      </c>
      <c r="E14" t="n">
        <v>4529</v>
      </c>
      <c r="F14" t="n">
        <v>48</v>
      </c>
      <c r="G14" t="n">
        <v>-1267</v>
      </c>
      <c r="H14" t="n">
        <v>-2727</v>
      </c>
      <c r="I14" t="n">
        <v>-172</v>
      </c>
      <c r="J14" t="n">
        <v>3087</v>
      </c>
      <c r="K14" t="n">
        <v>2429</v>
      </c>
      <c r="L14" t="n">
        <v>6754</v>
      </c>
      <c r="M14" t="n">
        <v>2296</v>
      </c>
      <c r="N14" t="n">
        <v>-1927</v>
      </c>
      <c r="O14" t="n">
        <v>-4544</v>
      </c>
      <c r="P14" t="n">
        <v>693</v>
      </c>
      <c r="Q14" t="n">
        <v>112</v>
      </c>
      <c r="R14" t="n">
        <v>-6934</v>
      </c>
      <c r="S14" t="n">
        <v>-1517</v>
      </c>
      <c r="T14" t="n">
        <v>-13828</v>
      </c>
      <c r="U14" t="n">
        <v>-1385</v>
      </c>
      <c r="V14" t="n">
        <v>289</v>
      </c>
      <c r="W14" t="n">
        <v>-2725</v>
      </c>
      <c r="X14" t="n">
        <v>-1713</v>
      </c>
      <c r="Y14" t="n">
        <v>2879</v>
      </c>
      <c r="Z14" t="n">
        <v>-5479</v>
      </c>
      <c r="AA14" t="n">
        <v>-14422</v>
      </c>
      <c r="AB14" t="n">
        <v>-6380</v>
      </c>
      <c r="AC14" t="n">
        <v>-4905</v>
      </c>
      <c r="AD14" t="n">
        <v>-2014</v>
      </c>
      <c r="AE14" t="n">
        <v>-4036</v>
      </c>
      <c r="AF14" t="n">
        <v>-1927</v>
      </c>
      <c r="AG14" t="n">
        <v>-267</v>
      </c>
      <c r="AH14" t="n">
        <v>-4873</v>
      </c>
      <c r="AI14" t="n">
        <v>-921</v>
      </c>
      <c r="AJ14" t="n">
        <v>-3331</v>
      </c>
      <c r="AK14" t="n">
        <v>4457</v>
      </c>
      <c r="AL14" t="n">
        <v>-2075</v>
      </c>
      <c r="AM14" t="n">
        <v>240</v>
      </c>
      <c r="AN14" t="n">
        <v>-10956</v>
      </c>
      <c r="AO14" t="n">
        <v>-5993</v>
      </c>
      <c r="AP14" t="n">
        <v>-1263</v>
      </c>
      <c r="AQ14" t="n">
        <v>-611</v>
      </c>
      <c r="AR14" t="n">
        <v>-1325</v>
      </c>
      <c r="AS14" t="n">
        <v>-2887</v>
      </c>
      <c r="AT14" t="n">
        <v>-1643</v>
      </c>
      <c r="AU14" t="n">
        <v>-268</v>
      </c>
      <c r="AV14" t="n">
        <v>-6733</v>
      </c>
      <c r="AW14" t="n">
        <v>-733</v>
      </c>
      <c r="AX14" t="n">
        <v>60</v>
      </c>
      <c r="AY14" t="n">
        <v>3298</v>
      </c>
      <c r="AZ14" t="n">
        <v>2530</v>
      </c>
      <c r="BA14" t="n">
        <v>1573</v>
      </c>
      <c r="BB14" t="n">
        <v>-960</v>
      </c>
      <c r="BC14" t="n">
        <v>-38</v>
      </c>
    </row>
    <row r="15">
      <c r="A15" t="inlineStr">
        <is>
          <t>Media, Entertainment &amp; Publication</t>
        </is>
      </c>
      <c r="B15" t="n">
        <v>338</v>
      </c>
      <c r="C15" t="n">
        <v>136</v>
      </c>
      <c r="D15" t="n">
        <v>-18</v>
      </c>
      <c r="E15" t="n">
        <v>-180</v>
      </c>
      <c r="F15" t="n">
        <v>143</v>
      </c>
      <c r="G15" t="n">
        <v>-25</v>
      </c>
      <c r="H15" t="n">
        <v>-85</v>
      </c>
      <c r="I15" t="n">
        <v>72</v>
      </c>
      <c r="J15" t="n">
        <v>52</v>
      </c>
      <c r="K15" t="n">
        <v>-55</v>
      </c>
      <c r="L15" t="n">
        <v>15</v>
      </c>
      <c r="M15" t="n">
        <v>110</v>
      </c>
      <c r="N15" t="n">
        <v>177</v>
      </c>
      <c r="O15" t="n">
        <v>3</v>
      </c>
      <c r="P15" t="n">
        <v>-12</v>
      </c>
      <c r="Q15" t="n">
        <v>34</v>
      </c>
      <c r="R15" t="n">
        <v>143</v>
      </c>
      <c r="S15" t="n">
        <v>303</v>
      </c>
      <c r="T15" t="n">
        <v>103</v>
      </c>
      <c r="U15" t="n">
        <v>9</v>
      </c>
      <c r="V15" t="n">
        <v>92</v>
      </c>
      <c r="W15" t="n">
        <v>45</v>
      </c>
      <c r="X15" t="n">
        <v>108</v>
      </c>
      <c r="Y15" t="n">
        <v>-74</v>
      </c>
      <c r="Z15" t="n">
        <v>-91</v>
      </c>
      <c r="AA15" t="n">
        <v>-106</v>
      </c>
      <c r="AB15" t="n">
        <v>-14</v>
      </c>
      <c r="AC15" t="n">
        <v>179</v>
      </c>
      <c r="AD15" t="n">
        <v>-16</v>
      </c>
      <c r="AE15" t="n">
        <v>93</v>
      </c>
      <c r="AF15" t="n">
        <v>87</v>
      </c>
      <c r="AG15" t="n">
        <v>-133</v>
      </c>
      <c r="AH15" t="n">
        <v>-148</v>
      </c>
      <c r="AI15" t="n">
        <v>-161</v>
      </c>
      <c r="AJ15" t="n">
        <v>-39</v>
      </c>
      <c r="AK15" t="n">
        <v>-281</v>
      </c>
      <c r="AL15" t="n">
        <v>-123</v>
      </c>
      <c r="AM15" t="n">
        <v>-55</v>
      </c>
      <c r="AN15" t="n">
        <v>134</v>
      </c>
      <c r="AO15" t="n">
        <v>-62</v>
      </c>
      <c r="AP15" t="n">
        <v>-57</v>
      </c>
      <c r="AQ15" t="n">
        <v>40</v>
      </c>
      <c r="AR15" t="n">
        <v>-59</v>
      </c>
      <c r="AS15" t="n">
        <v>-149</v>
      </c>
      <c r="AT15" t="n">
        <v>-12</v>
      </c>
      <c r="AU15" t="n">
        <v>-110</v>
      </c>
      <c r="AV15" t="n">
        <v>-232</v>
      </c>
      <c r="AW15" t="n">
        <v>-127</v>
      </c>
      <c r="AX15" t="n">
        <v>-289</v>
      </c>
      <c r="AY15" t="n">
        <v>24</v>
      </c>
      <c r="AZ15" t="n">
        <v>-6</v>
      </c>
      <c r="BA15" t="n">
        <v>72</v>
      </c>
      <c r="BB15" t="n">
        <v>-93</v>
      </c>
      <c r="BC15" t="n">
        <v>31</v>
      </c>
    </row>
    <row r="16">
      <c r="A16" t="inlineStr">
        <is>
          <t>Metals &amp; Mining</t>
        </is>
      </c>
      <c r="B16" t="n">
        <v>1969</v>
      </c>
      <c r="C16" t="n">
        <v>5341</v>
      </c>
      <c r="D16" t="n">
        <v>-2668</v>
      </c>
      <c r="E16" t="n">
        <v>-1105</v>
      </c>
      <c r="F16" t="n">
        <v>-1857</v>
      </c>
      <c r="G16" t="n">
        <v>3012</v>
      </c>
      <c r="H16" t="n">
        <v>222</v>
      </c>
      <c r="I16" t="n">
        <v>-75</v>
      </c>
      <c r="J16" t="n">
        <v>-1291</v>
      </c>
      <c r="K16" t="n">
        <v>86</v>
      </c>
      <c r="L16" t="n">
        <v>847</v>
      </c>
      <c r="M16" t="n">
        <v>124</v>
      </c>
      <c r="N16" t="n">
        <v>-1997</v>
      </c>
      <c r="O16" t="n">
        <v>-385</v>
      </c>
      <c r="P16" t="n">
        <v>-558</v>
      </c>
      <c r="Q16" t="n">
        <v>-606</v>
      </c>
      <c r="R16" t="n">
        <v>1179</v>
      </c>
      <c r="S16" t="n">
        <v>722</v>
      </c>
      <c r="T16" t="n">
        <v>-2829</v>
      </c>
      <c r="U16" t="n">
        <v>-574</v>
      </c>
      <c r="V16" t="n">
        <v>104</v>
      </c>
      <c r="W16" t="n">
        <v>-34</v>
      </c>
      <c r="X16" t="n">
        <v>-558</v>
      </c>
      <c r="Y16" t="n">
        <v>201</v>
      </c>
      <c r="Z16" t="n">
        <v>1724</v>
      </c>
      <c r="AA16" t="n">
        <v>1641</v>
      </c>
      <c r="AB16" t="n">
        <v>606</v>
      </c>
      <c r="AC16" t="n">
        <v>-1266</v>
      </c>
      <c r="AD16" t="n">
        <v>1394</v>
      </c>
      <c r="AE16" t="n">
        <v>446</v>
      </c>
      <c r="AF16" t="n">
        <v>1395</v>
      </c>
      <c r="AG16" t="n">
        <v>1752</v>
      </c>
      <c r="AH16" t="n">
        <v>-109</v>
      </c>
      <c r="AI16" t="n">
        <v>-571</v>
      </c>
      <c r="AJ16" t="n">
        <v>807</v>
      </c>
      <c r="AK16" t="n">
        <v>2177</v>
      </c>
      <c r="AL16" t="n">
        <v>2689</v>
      </c>
      <c r="AM16" t="n">
        <v>8837</v>
      </c>
      <c r="AN16" t="n">
        <v>3279</v>
      </c>
      <c r="AO16" t="n">
        <v>2359</v>
      </c>
      <c r="AP16" t="n">
        <v>876</v>
      </c>
      <c r="AQ16" t="n">
        <v>-4041</v>
      </c>
      <c r="AR16" t="n">
        <v>-1198</v>
      </c>
      <c r="AS16" t="n">
        <v>2416</v>
      </c>
      <c r="AT16" t="n">
        <v>1698</v>
      </c>
      <c r="AU16" t="n">
        <v>4999</v>
      </c>
      <c r="AV16" t="n">
        <v>-4722</v>
      </c>
      <c r="AW16" t="n">
        <v>-4371</v>
      </c>
      <c r="AX16" t="n">
        <v>5993</v>
      </c>
      <c r="AY16" t="n">
        <v>-1056</v>
      </c>
      <c r="AZ16" t="n">
        <v>720</v>
      </c>
      <c r="BA16" t="n">
        <v>1087</v>
      </c>
      <c r="BB16" t="n">
        <v>-681</v>
      </c>
      <c r="BC16" t="n">
        <v>-2322</v>
      </c>
    </row>
    <row r="17">
      <c r="A17" t="inlineStr">
        <is>
          <t>Oil, Gas &amp; Consumable Fuels</t>
        </is>
      </c>
      <c r="B17" t="n">
        <v>1944</v>
      </c>
      <c r="C17" t="n">
        <v>-325</v>
      </c>
      <c r="D17" t="n">
        <v>-1311</v>
      </c>
      <c r="E17" t="n">
        <v>2518</v>
      </c>
      <c r="F17" t="n">
        <v>1672</v>
      </c>
      <c r="G17" t="n">
        <v>-2312</v>
      </c>
      <c r="H17" t="n">
        <v>-12371</v>
      </c>
      <c r="I17" t="n">
        <v>-9073</v>
      </c>
      <c r="J17" t="n">
        <v>-7214</v>
      </c>
      <c r="K17" t="n">
        <v>-6132</v>
      </c>
      <c r="L17" t="n">
        <v>-5337</v>
      </c>
      <c r="M17" t="n">
        <v>-5489</v>
      </c>
      <c r="N17" t="n">
        <v>-1203</v>
      </c>
      <c r="O17" t="n">
        <v>-369</v>
      </c>
      <c r="P17" t="n">
        <v>-2434</v>
      </c>
      <c r="Q17" t="n">
        <v>-943</v>
      </c>
      <c r="R17" t="n">
        <v>-970</v>
      </c>
      <c r="S17" t="n">
        <v>-2449</v>
      </c>
      <c r="T17" t="n">
        <v>-2759</v>
      </c>
      <c r="U17" t="n">
        <v>2401</v>
      </c>
      <c r="V17" t="n">
        <v>2130</v>
      </c>
      <c r="W17" t="n">
        <v>390</v>
      </c>
      <c r="X17" t="n">
        <v>1199</v>
      </c>
      <c r="Y17" t="n">
        <v>4938</v>
      </c>
      <c r="Z17" t="n">
        <v>905</v>
      </c>
      <c r="AA17" t="n">
        <v>-4177</v>
      </c>
      <c r="AB17" t="n">
        <v>-4091</v>
      </c>
      <c r="AC17" t="n">
        <v>-2017</v>
      </c>
      <c r="AD17" t="n">
        <v>-1502</v>
      </c>
      <c r="AE17" t="n">
        <v>728</v>
      </c>
      <c r="AF17" t="n">
        <v>1086</v>
      </c>
      <c r="AG17" t="n">
        <v>8043</v>
      </c>
      <c r="AH17" t="n">
        <v>2992</v>
      </c>
      <c r="AI17" t="n">
        <v>4177</v>
      </c>
      <c r="AJ17" t="n">
        <v>3001</v>
      </c>
      <c r="AK17" t="n">
        <v>-645</v>
      </c>
      <c r="AL17" t="n">
        <v>-549</v>
      </c>
      <c r="AM17" t="n">
        <v>-391</v>
      </c>
      <c r="AN17" t="n">
        <v>4678</v>
      </c>
      <c r="AO17" t="n">
        <v>703</v>
      </c>
      <c r="AP17" t="n">
        <v>-2932</v>
      </c>
      <c r="AQ17" t="n">
        <v>-1197</v>
      </c>
      <c r="AR17" t="n">
        <v>-3352</v>
      </c>
      <c r="AS17" t="n">
        <v>-3351</v>
      </c>
      <c r="AT17" t="n">
        <v>-6885</v>
      </c>
      <c r="AU17" t="n">
        <v>-2093</v>
      </c>
      <c r="AV17" t="n">
        <v>-10488</v>
      </c>
      <c r="AW17" t="n">
        <v>-2789</v>
      </c>
      <c r="AX17" t="n">
        <v>258</v>
      </c>
      <c r="AY17" t="n">
        <v>-513</v>
      </c>
      <c r="AZ17" t="n">
        <v>490</v>
      </c>
      <c r="BA17" t="n">
        <v>-2251</v>
      </c>
      <c r="BB17" t="n">
        <v>-2385</v>
      </c>
      <c r="BC17" t="n">
        <v>-4469</v>
      </c>
    </row>
    <row r="18">
      <c r="A18" t="inlineStr">
        <is>
          <t>Power</t>
        </is>
      </c>
      <c r="B18" t="n">
        <v>-891</v>
      </c>
      <c r="C18" t="n">
        <v>-2905</v>
      </c>
      <c r="D18" t="n">
        <v>1169</v>
      </c>
      <c r="E18" t="n">
        <v>-2305</v>
      </c>
      <c r="F18" t="n">
        <v>1167</v>
      </c>
      <c r="G18" t="n">
        <v>242</v>
      </c>
      <c r="H18" t="n">
        <v>-2678</v>
      </c>
      <c r="I18" t="n">
        <v>1168</v>
      </c>
      <c r="J18" t="n">
        <v>-906</v>
      </c>
      <c r="K18" t="n">
        <v>109</v>
      </c>
      <c r="L18" t="n">
        <v>-552</v>
      </c>
      <c r="M18" t="n">
        <v>-1310</v>
      </c>
      <c r="N18" t="n">
        <v>-3115</v>
      </c>
      <c r="O18" t="n">
        <v>-1083</v>
      </c>
      <c r="P18" t="n">
        <v>-1852</v>
      </c>
      <c r="Q18" t="n">
        <v>-1234</v>
      </c>
      <c r="R18" t="n">
        <v>-1867</v>
      </c>
      <c r="S18" t="n">
        <v>1627</v>
      </c>
      <c r="T18" t="n">
        <v>29</v>
      </c>
      <c r="U18" t="n">
        <v>878</v>
      </c>
      <c r="V18" t="n">
        <v>-720</v>
      </c>
      <c r="W18" t="n">
        <v>-1774</v>
      </c>
      <c r="X18" t="n">
        <v>-3120</v>
      </c>
      <c r="Y18" t="n">
        <v>-3191</v>
      </c>
      <c r="Z18" t="n">
        <v>203</v>
      </c>
      <c r="AA18" t="n">
        <v>-141</v>
      </c>
      <c r="AB18" t="n">
        <v>-2358</v>
      </c>
      <c r="AC18" t="n">
        <v>-1708</v>
      </c>
      <c r="AD18" t="n">
        <v>-2107</v>
      </c>
      <c r="AE18" t="n">
        <v>-586</v>
      </c>
      <c r="AF18" t="n">
        <v>1103</v>
      </c>
      <c r="AG18" t="n">
        <v>-138</v>
      </c>
      <c r="AH18" t="n">
        <v>-2512</v>
      </c>
      <c r="AI18" t="n">
        <v>-103</v>
      </c>
      <c r="AJ18" t="n">
        <v>-2118</v>
      </c>
      <c r="AK18" t="n">
        <v>-635</v>
      </c>
      <c r="AL18" t="n">
        <v>-340</v>
      </c>
      <c r="AM18" t="n">
        <v>-1527</v>
      </c>
      <c r="AN18" t="n">
        <v>3272</v>
      </c>
      <c r="AO18" t="n">
        <v>1234</v>
      </c>
      <c r="AP18" t="n">
        <v>602</v>
      </c>
      <c r="AQ18" t="n">
        <v>-832</v>
      </c>
      <c r="AR18" t="n">
        <v>601</v>
      </c>
      <c r="AS18" t="n">
        <v>4956</v>
      </c>
      <c r="AT18" t="n">
        <v>-1157</v>
      </c>
      <c r="AU18" t="n">
        <v>476</v>
      </c>
      <c r="AV18" t="n">
        <v>-2577</v>
      </c>
      <c r="AW18" t="n">
        <v>-3743</v>
      </c>
      <c r="AX18" t="n">
        <v>-1267</v>
      </c>
      <c r="AY18" t="n">
        <v>-1596</v>
      </c>
      <c r="AZ18" t="n">
        <v>-1164</v>
      </c>
      <c r="BA18" t="n">
        <v>-389</v>
      </c>
      <c r="BB18" t="n">
        <v>-1653</v>
      </c>
      <c r="BC18" t="n">
        <v>-570</v>
      </c>
    </row>
    <row r="19">
      <c r="A19" t="inlineStr">
        <is>
          <t>Realty</t>
        </is>
      </c>
      <c r="B19" t="n">
        <v>192</v>
      </c>
      <c r="C19" t="n">
        <v>36</v>
      </c>
      <c r="D19" t="n">
        <v>-889</v>
      </c>
      <c r="E19" t="n">
        <v>-277</v>
      </c>
      <c r="F19" t="n">
        <v>2903</v>
      </c>
      <c r="G19" t="n">
        <v>2472</v>
      </c>
      <c r="H19" t="n">
        <v>-953</v>
      </c>
      <c r="I19" t="n">
        <v>-437</v>
      </c>
      <c r="J19" t="n">
        <v>694</v>
      </c>
      <c r="K19" t="n">
        <v>1367</v>
      </c>
      <c r="L19" t="n">
        <v>4689</v>
      </c>
      <c r="M19" t="n">
        <v>89</v>
      </c>
      <c r="N19" t="n">
        <v>-608</v>
      </c>
      <c r="O19" t="n">
        <v>-394</v>
      </c>
      <c r="P19" t="n">
        <v>-782</v>
      </c>
      <c r="Q19" t="n">
        <v>-407</v>
      </c>
      <c r="R19" t="n">
        <v>-27</v>
      </c>
      <c r="S19" t="n">
        <v>612</v>
      </c>
      <c r="T19" t="n">
        <v>-360</v>
      </c>
      <c r="U19" t="n">
        <v>-353</v>
      </c>
      <c r="V19" t="n">
        <v>-842</v>
      </c>
      <c r="W19" t="n">
        <v>-822</v>
      </c>
      <c r="X19" t="n">
        <v>431</v>
      </c>
      <c r="Y19" t="n">
        <v>910</v>
      </c>
      <c r="Z19" t="n">
        <v>-249</v>
      </c>
      <c r="AA19" t="n">
        <v>-3684</v>
      </c>
      <c r="AB19" t="n">
        <v>-1211</v>
      </c>
      <c r="AC19" t="n">
        <v>-34</v>
      </c>
      <c r="AD19" t="n">
        <v>-1927</v>
      </c>
      <c r="AE19" t="n">
        <v>-332</v>
      </c>
      <c r="AF19" t="n">
        <v>-807</v>
      </c>
      <c r="AG19" t="n">
        <v>1</v>
      </c>
      <c r="AH19" t="n">
        <v>236</v>
      </c>
      <c r="AI19" t="n">
        <v>-1045</v>
      </c>
      <c r="AJ19" t="n">
        <v>-670</v>
      </c>
      <c r="AK19" t="n">
        <v>-271</v>
      </c>
      <c r="AL19" t="n">
        <v>-699</v>
      </c>
      <c r="AM19" t="n">
        <v>-1956</v>
      </c>
      <c r="AN19" t="n">
        <v>786</v>
      </c>
      <c r="AO19" t="n">
        <v>-52</v>
      </c>
      <c r="AP19" t="n">
        <v>-2133</v>
      </c>
      <c r="AQ19" t="n">
        <v>-2560</v>
      </c>
      <c r="AR19" t="n">
        <v>-1917</v>
      </c>
      <c r="AS19" t="n">
        <v>-206</v>
      </c>
      <c r="AT19" t="n">
        <v>-430</v>
      </c>
      <c r="AU19" t="n">
        <v>30</v>
      </c>
      <c r="AV19" t="n">
        <v>-1093</v>
      </c>
      <c r="AW19" t="n">
        <v>1893</v>
      </c>
      <c r="AX19" t="n">
        <v>2072</v>
      </c>
      <c r="AY19" t="n">
        <v>-279</v>
      </c>
      <c r="AZ19" t="n">
        <v>-1014</v>
      </c>
      <c r="BA19" t="n">
        <v>420</v>
      </c>
      <c r="BB19" t="n">
        <v>-762</v>
      </c>
      <c r="BC19" t="n">
        <v>19</v>
      </c>
    </row>
    <row r="20">
      <c r="A20" t="inlineStr">
        <is>
          <t>Services</t>
        </is>
      </c>
      <c r="B20" t="n">
        <v>547</v>
      </c>
      <c r="C20" t="n">
        <v>-2021</v>
      </c>
      <c r="D20" t="n">
        <v>-2088</v>
      </c>
      <c r="E20" t="n">
        <v>4251</v>
      </c>
      <c r="F20" t="n">
        <v>-422</v>
      </c>
      <c r="G20" t="n">
        <v>2147</v>
      </c>
      <c r="H20" t="n">
        <v>-937</v>
      </c>
      <c r="I20" t="n">
        <v>34</v>
      </c>
      <c r="J20" t="n">
        <v>-1250</v>
      </c>
      <c r="K20" t="n">
        <v>-2472</v>
      </c>
      <c r="L20" t="n">
        <v>553</v>
      </c>
      <c r="M20" t="n">
        <v>1211</v>
      </c>
      <c r="N20" t="n">
        <v>-259</v>
      </c>
      <c r="O20" t="n">
        <v>-1334</v>
      </c>
      <c r="P20" t="n">
        <v>267</v>
      </c>
      <c r="Q20" t="n">
        <v>-84</v>
      </c>
      <c r="R20" t="n">
        <v>305</v>
      </c>
      <c r="S20" t="n">
        <v>273</v>
      </c>
      <c r="T20" t="n">
        <v>-1175</v>
      </c>
      <c r="U20" t="n">
        <v>983</v>
      </c>
      <c r="V20" t="n">
        <v>1762</v>
      </c>
      <c r="W20" t="n">
        <v>6210</v>
      </c>
      <c r="X20" t="n">
        <v>403</v>
      </c>
      <c r="Y20" t="n">
        <v>-57</v>
      </c>
      <c r="Z20" t="n">
        <v>2733</v>
      </c>
      <c r="AA20" t="n">
        <v>724</v>
      </c>
      <c r="AB20" t="n">
        <v>384</v>
      </c>
      <c r="AC20" t="n">
        <v>1967</v>
      </c>
      <c r="AD20" t="n">
        <v>236</v>
      </c>
      <c r="AE20" t="n">
        <v>-1222</v>
      </c>
      <c r="AF20" t="n">
        <v>234</v>
      </c>
      <c r="AG20" t="n">
        <v>-21</v>
      </c>
      <c r="AH20" t="n">
        <v>-673</v>
      </c>
      <c r="AI20" t="n">
        <v>-307</v>
      </c>
      <c r="AJ20" t="n">
        <v>-3237</v>
      </c>
      <c r="AK20" t="n">
        <v>-1041</v>
      </c>
      <c r="AL20" t="n">
        <v>-1587</v>
      </c>
      <c r="AM20" t="n">
        <v>-384</v>
      </c>
      <c r="AN20" t="n">
        <v>1286</v>
      </c>
      <c r="AO20" t="n">
        <v>205</v>
      </c>
      <c r="AP20" t="n">
        <v>-1275</v>
      </c>
      <c r="AQ20" t="n">
        <v>-1300</v>
      </c>
      <c r="AR20" t="n">
        <v>-591</v>
      </c>
      <c r="AS20" t="n">
        <v>-362</v>
      </c>
      <c r="AT20" t="n">
        <v>7019</v>
      </c>
      <c r="AU20" t="n">
        <v>185</v>
      </c>
      <c r="AV20" t="n">
        <v>302</v>
      </c>
      <c r="AW20" t="n">
        <v>2592</v>
      </c>
      <c r="AX20" t="n">
        <v>2405</v>
      </c>
      <c r="AY20" t="n">
        <v>-1</v>
      </c>
      <c r="AZ20" t="n">
        <v>590</v>
      </c>
      <c r="BA20" t="n">
        <v>1193</v>
      </c>
      <c r="BB20" t="n">
        <v>905</v>
      </c>
      <c r="BC20" t="n">
        <v>1397</v>
      </c>
    </row>
    <row r="21">
      <c r="A21" t="inlineStr">
        <is>
          <t>Sovereign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Telecommunication</t>
        </is>
      </c>
      <c r="B22" t="n">
        <v>934</v>
      </c>
      <c r="C22" t="n">
        <v>2204</v>
      </c>
      <c r="D22" t="n">
        <v>662</v>
      </c>
      <c r="E22" t="n">
        <v>1399</v>
      </c>
      <c r="F22" t="n">
        <v>1699</v>
      </c>
      <c r="G22" t="n">
        <v>236</v>
      </c>
      <c r="H22" t="n">
        <v>-1603</v>
      </c>
      <c r="I22" t="n">
        <v>-1095</v>
      </c>
      <c r="J22" t="n">
        <v>-2136</v>
      </c>
      <c r="K22" t="n">
        <v>-2942</v>
      </c>
      <c r="L22" t="n">
        <v>627</v>
      </c>
      <c r="M22" t="n">
        <v>-255</v>
      </c>
      <c r="N22" t="n">
        <v>-499</v>
      </c>
      <c r="O22" t="n">
        <v>643</v>
      </c>
      <c r="P22" t="n">
        <v>2337</v>
      </c>
      <c r="Q22" t="n">
        <v>5661</v>
      </c>
      <c r="R22" t="n">
        <v>-340</v>
      </c>
      <c r="S22" t="n">
        <v>3413</v>
      </c>
      <c r="T22" t="n">
        <v>2137</v>
      </c>
      <c r="U22" t="n">
        <v>2511</v>
      </c>
      <c r="V22" t="n">
        <v>1037</v>
      </c>
      <c r="W22" t="n">
        <v>7052</v>
      </c>
      <c r="X22" t="n">
        <v>-887</v>
      </c>
      <c r="Y22" t="n">
        <v>3620</v>
      </c>
      <c r="Z22" t="n">
        <v>283</v>
      </c>
      <c r="AA22" t="n">
        <v>1190</v>
      </c>
      <c r="AB22" t="n">
        <v>7446</v>
      </c>
      <c r="AC22" t="n">
        <v>-1680</v>
      </c>
      <c r="AD22" t="n">
        <v>-1505</v>
      </c>
      <c r="AE22" t="n">
        <v>-917</v>
      </c>
      <c r="AF22" t="n">
        <v>73</v>
      </c>
      <c r="AG22" t="n">
        <v>2087</v>
      </c>
      <c r="AH22" t="n">
        <v>9413</v>
      </c>
      <c r="AI22" t="n">
        <v>4913</v>
      </c>
      <c r="AJ22" t="n">
        <v>-879</v>
      </c>
      <c r="AK22" t="n">
        <v>1113</v>
      </c>
      <c r="AL22" t="n">
        <v>-1497</v>
      </c>
      <c r="AM22" t="n">
        <v>-3280</v>
      </c>
      <c r="AN22" t="n">
        <v>-106</v>
      </c>
      <c r="AO22" t="n">
        <v>-1775</v>
      </c>
      <c r="AP22" t="n">
        <v>-3856</v>
      </c>
      <c r="AQ22" t="n">
        <v>-1747</v>
      </c>
      <c r="AR22" t="n">
        <v>-2492</v>
      </c>
      <c r="AS22" t="n">
        <v>-1908</v>
      </c>
      <c r="AT22" t="n">
        <v>-2542</v>
      </c>
      <c r="AU22" t="n">
        <v>2127</v>
      </c>
      <c r="AV22" t="n">
        <v>373</v>
      </c>
      <c r="AW22" t="n">
        <v>-720</v>
      </c>
      <c r="AX22" t="n">
        <v>-2454</v>
      </c>
      <c r="AY22" t="n">
        <v>-3271</v>
      </c>
      <c r="AZ22" t="n">
        <v>-3322</v>
      </c>
      <c r="BA22" t="n">
        <v>-1661</v>
      </c>
      <c r="BB22" t="n">
        <v>-991</v>
      </c>
      <c r="BC22" t="n">
        <v>-2423</v>
      </c>
    </row>
    <row r="23">
      <c r="A23" t="inlineStr">
        <is>
          <t>Textiles</t>
        </is>
      </c>
      <c r="B23" t="n">
        <v>41</v>
      </c>
      <c r="C23" t="n">
        <v>53</v>
      </c>
      <c r="D23" t="n">
        <v>116</v>
      </c>
      <c r="E23" t="n">
        <v>260</v>
      </c>
      <c r="F23" t="n">
        <v>-104</v>
      </c>
      <c r="G23" t="n">
        <v>85</v>
      </c>
      <c r="H23" t="n">
        <v>-68</v>
      </c>
      <c r="I23" t="n">
        <v>31</v>
      </c>
      <c r="J23" t="n">
        <v>92</v>
      </c>
      <c r="K23" t="n">
        <v>320</v>
      </c>
      <c r="L23" t="n">
        <v>138</v>
      </c>
      <c r="M23" t="n">
        <v>751</v>
      </c>
      <c r="N23" t="n">
        <v>205</v>
      </c>
      <c r="O23" t="n">
        <v>397</v>
      </c>
      <c r="P23" t="n">
        <v>158</v>
      </c>
      <c r="Q23" t="n">
        <v>-125</v>
      </c>
      <c r="R23" t="n">
        <v>-23</v>
      </c>
      <c r="S23" t="n">
        <v>-53</v>
      </c>
      <c r="T23" t="n">
        <v>-72</v>
      </c>
      <c r="U23" t="n">
        <v>-72</v>
      </c>
      <c r="V23" t="n">
        <v>-92</v>
      </c>
      <c r="W23" t="n">
        <v>3</v>
      </c>
      <c r="X23" t="n">
        <v>209</v>
      </c>
      <c r="Y23" t="n">
        <v>-5</v>
      </c>
      <c r="Z23" t="n">
        <v>234</v>
      </c>
      <c r="AA23" t="n">
        <v>42</v>
      </c>
      <c r="AB23" t="n">
        <v>-228</v>
      </c>
      <c r="AC23" t="n">
        <v>-422</v>
      </c>
      <c r="AD23" t="n">
        <v>-119</v>
      </c>
      <c r="AE23" t="n">
        <v>-39</v>
      </c>
      <c r="AF23" t="n">
        <v>-203</v>
      </c>
      <c r="AG23" t="n">
        <v>-156</v>
      </c>
      <c r="AH23" t="n">
        <v>-186</v>
      </c>
      <c r="AI23" t="n">
        <v>-140</v>
      </c>
      <c r="AJ23" t="n">
        <v>-263</v>
      </c>
      <c r="AK23" t="n">
        <v>-274</v>
      </c>
      <c r="AL23" t="n">
        <v>-176</v>
      </c>
      <c r="AM23" t="n">
        <v>-99</v>
      </c>
      <c r="AN23" t="n">
        <v>-67</v>
      </c>
      <c r="AO23" t="n">
        <v>-33</v>
      </c>
      <c r="AP23" t="n">
        <v>-177</v>
      </c>
      <c r="AQ23" t="n">
        <v>-142</v>
      </c>
      <c r="AR23" t="n">
        <v>-50</v>
      </c>
      <c r="AS23" t="n">
        <v>-48</v>
      </c>
      <c r="AT23" t="n">
        <v>-112</v>
      </c>
      <c r="AU23" t="n">
        <v>39</v>
      </c>
      <c r="AV23" t="n">
        <v>-146</v>
      </c>
      <c r="AW23" t="n">
        <v>241</v>
      </c>
      <c r="AX23" t="n">
        <v>248</v>
      </c>
      <c r="AY23" t="n">
        <v>206</v>
      </c>
      <c r="AZ23" t="n">
        <v>1</v>
      </c>
      <c r="BA23" t="n">
        <v>-294</v>
      </c>
      <c r="BB23" t="n">
        <v>10</v>
      </c>
      <c r="BC23" t="n">
        <v>636</v>
      </c>
    </row>
    <row r="24">
      <c r="A24" t="inlineStr">
        <is>
          <t>Utilities</t>
        </is>
      </c>
      <c r="B24" t="n">
        <v>-38</v>
      </c>
      <c r="C24" t="n">
        <v>28</v>
      </c>
      <c r="D24" t="n">
        <v>105</v>
      </c>
      <c r="E24" t="n">
        <v>-1</v>
      </c>
      <c r="F24" t="n">
        <v>46</v>
      </c>
      <c r="G24" t="n">
        <v>239</v>
      </c>
      <c r="H24" t="n">
        <v>127</v>
      </c>
      <c r="I24" t="n">
        <v>165</v>
      </c>
      <c r="J24" t="n">
        <v>50</v>
      </c>
      <c r="K24" t="n">
        <v>89</v>
      </c>
      <c r="L24" t="n">
        <v>15</v>
      </c>
      <c r="M24" t="n">
        <v>54</v>
      </c>
      <c r="N24" t="n">
        <v>1</v>
      </c>
      <c r="O24" t="n">
        <v>-47</v>
      </c>
      <c r="P24" t="n">
        <v>-57</v>
      </c>
      <c r="Q24" t="n">
        <v>-19</v>
      </c>
      <c r="R24" t="n">
        <v>-7</v>
      </c>
      <c r="S24" t="n">
        <v>26</v>
      </c>
      <c r="T24" t="n">
        <v>-26</v>
      </c>
      <c r="U24" t="n">
        <v>35</v>
      </c>
      <c r="V24" t="n">
        <v>7</v>
      </c>
      <c r="W24" t="n">
        <v>16</v>
      </c>
      <c r="X24" t="n">
        <v>4</v>
      </c>
      <c r="Y24" t="n">
        <v>-36</v>
      </c>
      <c r="Z24" t="n">
        <v>-9</v>
      </c>
      <c r="AA24" t="n">
        <v>-9</v>
      </c>
      <c r="AB24" t="n">
        <v>-24</v>
      </c>
      <c r="AC24" t="n">
        <v>15</v>
      </c>
      <c r="AD24" t="n">
        <v>-46</v>
      </c>
      <c r="AE24" t="n">
        <v>11</v>
      </c>
      <c r="AF24" t="n">
        <v>1</v>
      </c>
      <c r="AG24" t="n">
        <v>14</v>
      </c>
      <c r="AH24" t="n">
        <v>8</v>
      </c>
      <c r="AI24" t="n">
        <v>27</v>
      </c>
      <c r="AJ24" t="n">
        <v>-13</v>
      </c>
      <c r="AK24" t="n">
        <v>-17</v>
      </c>
      <c r="AL24" t="n">
        <v>-126</v>
      </c>
      <c r="AM24" t="n">
        <v>24</v>
      </c>
      <c r="AN24" t="n">
        <v>-14</v>
      </c>
      <c r="AO24" t="n">
        <v>8</v>
      </c>
      <c r="AP24" t="n">
        <v>-14</v>
      </c>
      <c r="AQ24" t="n">
        <v>3</v>
      </c>
      <c r="AR24" t="n">
        <v>4</v>
      </c>
      <c r="AS24" t="n">
        <v>-12</v>
      </c>
      <c r="AT24" t="n">
        <v>-28</v>
      </c>
      <c r="AU24" t="n">
        <v>-19</v>
      </c>
      <c r="AV24" t="n">
        <v>7</v>
      </c>
      <c r="AW24" t="n">
        <v>216</v>
      </c>
      <c r="AX24" t="n">
        <v>119</v>
      </c>
      <c r="AY24" t="n">
        <v>-163</v>
      </c>
      <c r="AZ24" t="n">
        <v>7</v>
      </c>
      <c r="BA24" t="n">
        <v>-38</v>
      </c>
      <c r="BB24" t="n">
        <v>194</v>
      </c>
      <c r="BC24" t="n">
        <v>-33</v>
      </c>
    </row>
    <row r="25">
      <c r="A25" t="inlineStr">
        <is>
          <t>Others</t>
        </is>
      </c>
      <c r="B25" t="n">
        <v>357</v>
      </c>
      <c r="C25" t="n">
        <v>808</v>
      </c>
      <c r="D25" t="n">
        <v>324</v>
      </c>
      <c r="E25" t="n">
        <v>1792</v>
      </c>
      <c r="F25" t="n">
        <v>2452</v>
      </c>
      <c r="G25" t="n">
        <v>2032</v>
      </c>
      <c r="H25" t="n">
        <v>4271</v>
      </c>
      <c r="I25" t="n">
        <v>2456</v>
      </c>
      <c r="J25" t="n">
        <v>1473</v>
      </c>
      <c r="K25" t="n">
        <v>-44</v>
      </c>
      <c r="L25" t="n">
        <v>2974</v>
      </c>
      <c r="M25" t="n">
        <v>495</v>
      </c>
      <c r="N25" t="n">
        <v>-138</v>
      </c>
      <c r="O25" t="n">
        <v>1348</v>
      </c>
      <c r="P25" t="n">
        <v>-116</v>
      </c>
      <c r="Q25" t="n">
        <v>1362</v>
      </c>
      <c r="R25" t="n">
        <v>771</v>
      </c>
      <c r="S25" t="n">
        <v>1466</v>
      </c>
      <c r="T25" t="n">
        <v>297</v>
      </c>
      <c r="U25" t="n">
        <v>1431</v>
      </c>
      <c r="V25" t="n">
        <v>796</v>
      </c>
      <c r="W25" t="n">
        <v>-540</v>
      </c>
      <c r="X25" t="n">
        <v>-348</v>
      </c>
      <c r="Y25" t="n">
        <v>1453</v>
      </c>
      <c r="Z25" t="n">
        <v>-17</v>
      </c>
      <c r="AA25" t="n">
        <v>8153</v>
      </c>
      <c r="AB25" t="n">
        <v>-26</v>
      </c>
      <c r="AC25" t="n">
        <v>60</v>
      </c>
      <c r="AD25" t="n">
        <v>133</v>
      </c>
      <c r="AE25" t="n">
        <v>294</v>
      </c>
      <c r="AF25" t="n">
        <v>1060</v>
      </c>
      <c r="AG25" t="n">
        <v>338</v>
      </c>
      <c r="AH25" t="n">
        <v>1446</v>
      </c>
      <c r="AI25" t="n">
        <v>199</v>
      </c>
      <c r="AJ25" t="n">
        <v>918</v>
      </c>
      <c r="AK25" t="n">
        <v>338</v>
      </c>
      <c r="AL25" t="n">
        <v>-1469</v>
      </c>
      <c r="AM25" t="n">
        <v>486</v>
      </c>
      <c r="AN25" t="n">
        <v>1473</v>
      </c>
      <c r="AO25" t="n">
        <v>231</v>
      </c>
      <c r="AP25" t="n">
        <v>548</v>
      </c>
      <c r="AQ25" t="n">
        <v>1967</v>
      </c>
      <c r="AR25" t="n">
        <v>730</v>
      </c>
      <c r="AS25" t="n">
        <v>837</v>
      </c>
      <c r="AT25" t="n">
        <v>-808</v>
      </c>
      <c r="AU25" t="n">
        <v>-254</v>
      </c>
      <c r="AV25" t="n">
        <v>629</v>
      </c>
      <c r="AW25" t="n">
        <v>863</v>
      </c>
      <c r="AX25" t="n">
        <v>1412</v>
      </c>
      <c r="AY25" t="n">
        <v>138</v>
      </c>
      <c r="AZ25" t="n">
        <v>543</v>
      </c>
      <c r="BA25" t="n">
        <v>-992</v>
      </c>
      <c r="BB25" t="n">
        <v>388</v>
      </c>
      <c r="BC25" t="n">
        <v>-1091</v>
      </c>
    </row>
    <row r="26">
      <c r="A26" s="42" t="inlineStr">
        <is>
          <t>TOTAL</t>
        </is>
      </c>
      <c r="B26" s="42">
        <f>SUM(B2:B25)</f>
        <v/>
      </c>
      <c r="C26" s="42">
        <f>SUM(C2:C25)</f>
        <v/>
      </c>
      <c r="D26" s="42">
        <f>SUM(D2:D25)</f>
        <v/>
      </c>
      <c r="E26" s="42">
        <f>SUM(E2:E25)</f>
        <v/>
      </c>
      <c r="F26" s="42">
        <f>SUM(F2:F25)</f>
        <v/>
      </c>
      <c r="G26" s="42">
        <f>SUM(G2:G25)</f>
        <v/>
      </c>
      <c r="H26" s="42">
        <f>SUM(H2:H25)</f>
        <v/>
      </c>
      <c r="I26" s="42">
        <f>SUM(I2:I25)</f>
        <v/>
      </c>
      <c r="J26" s="42">
        <f>SUM(J2:J25)</f>
        <v/>
      </c>
      <c r="K26" s="42">
        <f>SUM(K2:K25)</f>
        <v/>
      </c>
      <c r="L26" s="42">
        <f>SUM(L2:L25)</f>
        <v/>
      </c>
      <c r="M26" s="42">
        <f>SUM(M2:M25)</f>
        <v/>
      </c>
      <c r="N26" s="42">
        <f>SUM(N2:N25)</f>
        <v/>
      </c>
      <c r="O26" s="42">
        <f>SUM(O2:O25)</f>
        <v/>
      </c>
      <c r="P26" s="42">
        <f>SUM(P2:P25)</f>
        <v/>
      </c>
      <c r="Q26" s="42">
        <f>SUM(Q2:Q25)</f>
        <v/>
      </c>
      <c r="R26" s="42">
        <f>SUM(R2:R25)</f>
        <v/>
      </c>
      <c r="S26" s="42">
        <f>SUM(S2:S25)</f>
        <v/>
      </c>
      <c r="T26" s="42">
        <f>SUM(T2:T25)</f>
        <v/>
      </c>
      <c r="U26" s="42">
        <f>SUM(U2:U25)</f>
        <v/>
      </c>
      <c r="V26" s="42">
        <f>SUM(V2:V25)</f>
        <v/>
      </c>
      <c r="W26" s="42">
        <f>SUM(W2:W25)</f>
        <v/>
      </c>
      <c r="X26" s="42">
        <f>SUM(X2:X25)</f>
        <v/>
      </c>
      <c r="Y26" s="42">
        <f>SUM(Y2:Y25)</f>
        <v/>
      </c>
      <c r="Z26" s="42">
        <f>SUM(Z2:Z25)</f>
        <v/>
      </c>
      <c r="AA26" s="42">
        <f>SUM(AA2:AA25)</f>
        <v/>
      </c>
      <c r="AB26" s="42">
        <f>SUM(AB2:AB25)</f>
        <v/>
      </c>
      <c r="AC26" s="42">
        <f>SUM(AC2:AC25)</f>
        <v/>
      </c>
      <c r="AD26" s="42">
        <f>SUM(AD2:AD25)</f>
        <v/>
      </c>
      <c r="AE26" s="42">
        <f>SUM(AE2:AE25)</f>
        <v/>
      </c>
      <c r="AF26" s="42">
        <f>SUM(AF2:AF25)</f>
        <v/>
      </c>
      <c r="AG26" s="42">
        <f>SUM(AG2:AG25)</f>
        <v/>
      </c>
      <c r="AH26" s="42">
        <f>SUM(AH2:AH25)</f>
        <v/>
      </c>
      <c r="AI26" s="42">
        <f>SUM(AI2:AI25)</f>
        <v/>
      </c>
      <c r="AJ26" s="42">
        <f>SUM(AJ2:AJ25)</f>
        <v/>
      </c>
      <c r="AK26" s="42">
        <f>SUM(AK2:AK25)</f>
        <v/>
      </c>
      <c r="AL26" s="42">
        <f>SUM(AL2:AL25)</f>
        <v/>
      </c>
      <c r="AM26" s="42">
        <f>SUM(AM2:AM25)</f>
        <v/>
      </c>
      <c r="AN26" s="42">
        <f>SUM(AN2:AN25)</f>
        <v/>
      </c>
      <c r="AO26" s="42">
        <f>SUM(AO2:AO25)</f>
        <v/>
      </c>
      <c r="AP26" s="42">
        <f>SUM(AP2:AP25)</f>
        <v/>
      </c>
      <c r="AQ26" s="42">
        <f>SUM(AQ2:AQ25)</f>
        <v/>
      </c>
      <c r="AR26" s="42">
        <f>SUM(AR2:AR25)</f>
        <v/>
      </c>
      <c r="AS26" s="42">
        <f>SUM(AS2:AS25)</f>
        <v/>
      </c>
      <c r="AT26" s="42">
        <f>SUM(AT2:AT25)</f>
        <v/>
      </c>
      <c r="AU26" s="42">
        <f>SUM(AU2:AU25)</f>
        <v/>
      </c>
      <c r="AV26" s="42">
        <f>SUM(AV2:AV25)</f>
        <v/>
      </c>
      <c r="AW26" s="42">
        <f>SUM(AW2:AW25)</f>
        <v/>
      </c>
      <c r="AX26" s="42">
        <f>SUM(AX2:AX25)</f>
        <v/>
      </c>
      <c r="AY26" s="42">
        <f>SUM(AY2:AY25)</f>
        <v/>
      </c>
      <c r="AZ26" s="42">
        <f>SUM(AZ2:AZ25)</f>
        <v/>
      </c>
      <c r="BA26" s="42">
        <f>SUM(BA2:BA25)</f>
        <v/>
      </c>
      <c r="BB26" s="42">
        <f>SUM(BB2:BB25)</f>
        <v/>
      </c>
      <c r="BC26" s="42">
        <f>SUM(BC2:BC25)</f>
        <v/>
      </c>
    </row>
  </sheetData>
  <conditionalFormatting sqref="B2:BC25">
    <cfRule type="colorScale" priority="1">
      <colorScale>
        <cfvo type="num" val="-8000"/>
        <cfvo type="num" val="0"/>
        <cfvo type="num" val="8000"/>
        <color rgb="00C00000"/>
        <color rgb="00FFFFFF"/>
        <color rgb="002E7D3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style="30" min="1" max="1"/>
    <col width="14" customWidth="1" style="30" min="2" max="2"/>
    <col width="14" customWidth="1" style="30" min="3" max="3"/>
    <col width="14" customWidth="1" style="30" min="4" max="4"/>
    <col width="14" customWidth="1" style="30" min="5" max="5"/>
    <col width="14" customWidth="1" style="30" min="6" max="6"/>
    <col width="14" customWidth="1" style="30" min="7" max="7"/>
    <col width="14" customWidth="1" style="30" min="8" max="8"/>
    <col width="14" customWidth="1" style="30" min="9" max="9"/>
    <col width="14" customWidth="1" style="30" min="10" max="10"/>
    <col width="14" customWidth="1" style="30" min="11" max="11"/>
    <col width="14" customWidth="1" style="30" min="12" max="12"/>
    <col width="14" customWidth="1" style="30" min="13" max="13"/>
    <col width="14" customWidth="1" style="30" min="14" max="14"/>
    <col width="14" customWidth="1" style="30" min="15" max="15"/>
    <col width="14" customWidth="1" style="30" min="16" max="16"/>
    <col width="14" customWidth="1" style="30" min="17" max="17"/>
    <col width="14" customWidth="1" style="30" min="18" max="18"/>
    <col width="14" customWidth="1" style="30" min="19" max="19"/>
    <col width="14" customWidth="1" style="30" min="20" max="20"/>
    <col width="14" customWidth="1" style="30" min="21" max="21"/>
    <col width="14" customWidth="1" style="30" min="22" max="22"/>
    <col width="14" customWidth="1" style="30" min="23" max="23"/>
    <col width="14" customWidth="1" style="30" min="24" max="24"/>
    <col width="14" customWidth="1" style="30" min="25" max="25"/>
    <col width="14" customWidth="1" style="30" min="26" max="26"/>
    <col width="14" customWidth="1" style="30" min="27" max="27"/>
    <col width="14" customWidth="1" style="30" min="28" max="28"/>
  </cols>
  <sheetData>
    <row r="1">
      <c r="A1" s="40" t="inlineStr">
        <is>
          <t>Sector</t>
        </is>
      </c>
      <c r="B1" s="41" t="inlineStr">
        <is>
          <t>Jul 2024</t>
        </is>
      </c>
      <c r="C1" s="41" t="inlineStr">
        <is>
          <t>Aug 2024</t>
        </is>
      </c>
      <c r="D1" s="41" t="inlineStr">
        <is>
          <t>Sep 2024</t>
        </is>
      </c>
      <c r="E1" s="41" t="inlineStr">
        <is>
          <t>Oct 2024</t>
        </is>
      </c>
      <c r="F1" s="41" t="inlineStr">
        <is>
          <t>Nov 2024</t>
        </is>
      </c>
      <c r="G1" s="41" t="inlineStr">
        <is>
          <t>Dec 2024</t>
        </is>
      </c>
      <c r="H1" s="41" t="inlineStr">
        <is>
          <t>Jan 2025</t>
        </is>
      </c>
      <c r="I1" s="41" t="inlineStr">
        <is>
          <t>Feb 2025</t>
        </is>
      </c>
      <c r="J1" s="41" t="inlineStr">
        <is>
          <t>Mar 2025</t>
        </is>
      </c>
      <c r="K1" s="41" t="inlineStr">
        <is>
          <t>Apr 2025</t>
        </is>
      </c>
      <c r="L1" s="41" t="inlineStr">
        <is>
          <t>May 2025</t>
        </is>
      </c>
      <c r="M1" s="41" t="inlineStr">
        <is>
          <t>Jun 2025</t>
        </is>
      </c>
      <c r="N1" s="41" t="inlineStr">
        <is>
          <t>Jul 2025</t>
        </is>
      </c>
      <c r="O1" s="41" t="inlineStr">
        <is>
          <t>Aug 2025</t>
        </is>
      </c>
      <c r="P1" s="41" t="inlineStr">
        <is>
          <t>Sep 2025</t>
        </is>
      </c>
      <c r="Q1" s="41" t="inlineStr">
        <is>
          <t>Oct 2025</t>
        </is>
      </c>
      <c r="R1" s="41" t="inlineStr">
        <is>
          <t>Nov 2025</t>
        </is>
      </c>
      <c r="S1" s="41" t="inlineStr">
        <is>
          <t>Dec 2025</t>
        </is>
      </c>
      <c r="T1" s="41" t="inlineStr">
        <is>
          <t>Jan 2026</t>
        </is>
      </c>
      <c r="U1" s="41" t="inlineStr">
        <is>
          <t>Feb 2026</t>
        </is>
      </c>
      <c r="V1" s="41" t="inlineStr">
        <is>
          <t>Mar 2026</t>
        </is>
      </c>
      <c r="W1" s="41" t="inlineStr">
        <is>
          <t>Apr 2026</t>
        </is>
      </c>
      <c r="X1" s="41" t="inlineStr">
        <is>
          <t>May 2026</t>
        </is>
      </c>
      <c r="Y1" s="41" t="inlineStr">
        <is>
          <t>Jun 2026</t>
        </is>
      </c>
      <c r="Z1" s="41" t="inlineStr">
        <is>
          <t>Jul 2026</t>
        </is>
      </c>
      <c r="AA1" s="41" t="inlineStr">
        <is>
          <t>Aug 2026</t>
        </is>
      </c>
      <c r="AB1" s="41" t="inlineStr">
        <is>
          <t>Sep 2026</t>
        </is>
      </c>
    </row>
    <row r="2">
      <c r="A2" t="inlineStr">
        <is>
          <t>Automobile and Auto Components</t>
        </is>
      </c>
      <c r="C2" t="n">
        <v>-751</v>
      </c>
      <c r="D2" t="n">
        <v>-2106</v>
      </c>
      <c r="E2" t="n">
        <v>-10440</v>
      </c>
      <c r="F2" t="n">
        <v>-7464</v>
      </c>
      <c r="G2" t="n">
        <v>-4371</v>
      </c>
      <c r="H2" t="n">
        <v>-5823</v>
      </c>
      <c r="I2" t="n">
        <v>-3969</v>
      </c>
      <c r="J2" t="n">
        <v>-2864</v>
      </c>
      <c r="K2" t="n">
        <v>-3207</v>
      </c>
      <c r="L2" t="n">
        <v>101</v>
      </c>
      <c r="M2" t="n">
        <v>4724</v>
      </c>
      <c r="N2" t="n">
        <v>-3584</v>
      </c>
      <c r="O2" t="n">
        <v>1803</v>
      </c>
      <c r="P2" t="n">
        <v>3641</v>
      </c>
      <c r="Q2" t="n">
        <v>967</v>
      </c>
      <c r="R2" t="n">
        <v>-1642</v>
      </c>
      <c r="S2" t="n">
        <v>-2045</v>
      </c>
      <c r="T2" t="n">
        <v>-3594</v>
      </c>
      <c r="U2" t="n">
        <v>3586</v>
      </c>
      <c r="V2" t="n">
        <v>-12498</v>
      </c>
      <c r="W2" t="n">
        <v>-5479</v>
      </c>
      <c r="X2" t="n">
        <v>-2532</v>
      </c>
      <c r="Y2" t="n">
        <v>-10368</v>
      </c>
      <c r="Z2" t="n">
        <v>-4564</v>
      </c>
      <c r="AA2" t="n">
        <v>3106</v>
      </c>
      <c r="AB2" t="n">
        <v>-6212</v>
      </c>
    </row>
    <row r="3">
      <c r="A3" t="inlineStr">
        <is>
          <t>Capital Goods</t>
        </is>
      </c>
      <c r="B3" t="n">
        <v>4927</v>
      </c>
      <c r="C3" t="n">
        <v>-309</v>
      </c>
      <c r="D3" t="n">
        <v>4002</v>
      </c>
      <c r="E3" t="n">
        <v>-2786</v>
      </c>
      <c r="F3" t="n">
        <v>-323</v>
      </c>
      <c r="G3" t="n">
        <v>3128</v>
      </c>
      <c r="H3" t="n">
        <v>-5697</v>
      </c>
      <c r="I3" t="n">
        <v>-4464</v>
      </c>
      <c r="J3" t="n">
        <v>-299</v>
      </c>
      <c r="K3" t="n">
        <v>-75</v>
      </c>
      <c r="L3" t="n">
        <v>5327</v>
      </c>
      <c r="M3" t="n">
        <v>-1831</v>
      </c>
      <c r="N3" t="n">
        <v>305</v>
      </c>
      <c r="O3" t="n">
        <v>1896</v>
      </c>
      <c r="P3" t="n">
        <v>3010</v>
      </c>
      <c r="Q3" t="n">
        <v>-682</v>
      </c>
      <c r="R3" t="n">
        <v>2495</v>
      </c>
      <c r="S3" t="n">
        <v>-2566</v>
      </c>
      <c r="T3" t="n">
        <v>2761</v>
      </c>
      <c r="U3" t="n">
        <v>12135</v>
      </c>
      <c r="V3" t="n">
        <v>3148</v>
      </c>
      <c r="W3" t="n">
        <v>4339</v>
      </c>
      <c r="X3" t="n">
        <v>2799</v>
      </c>
      <c r="Y3" t="n">
        <v>-4028</v>
      </c>
      <c r="Z3" t="n">
        <v>-6275</v>
      </c>
      <c r="AA3" t="n">
        <v>606</v>
      </c>
      <c r="AB3" t="n">
        <v>-1461</v>
      </c>
    </row>
    <row r="4">
      <c r="A4" t="inlineStr">
        <is>
          <t>Chemicals</t>
        </is>
      </c>
      <c r="B4" t="n">
        <v>-512</v>
      </c>
      <c r="C4" t="n">
        <v>-22</v>
      </c>
      <c r="D4" t="n">
        <v>1445</v>
      </c>
      <c r="E4" t="n">
        <v>583</v>
      </c>
      <c r="F4" t="n">
        <v>13</v>
      </c>
      <c r="G4" t="n">
        <v>600</v>
      </c>
      <c r="H4" t="n">
        <v>355</v>
      </c>
      <c r="I4" t="n">
        <v>429</v>
      </c>
      <c r="J4" t="n">
        <v>491</v>
      </c>
      <c r="K4" t="n">
        <v>875</v>
      </c>
      <c r="L4" t="n">
        <v>1308</v>
      </c>
      <c r="M4" t="n">
        <v>2392</v>
      </c>
      <c r="N4" t="n">
        <v>1129</v>
      </c>
      <c r="O4" t="n">
        <v>1571</v>
      </c>
      <c r="P4" t="n">
        <v>-383</v>
      </c>
      <c r="Q4" t="n">
        <v>-924</v>
      </c>
      <c r="R4" t="n">
        <v>-1178</v>
      </c>
      <c r="S4" t="n">
        <v>-48</v>
      </c>
      <c r="T4" t="n">
        <v>140</v>
      </c>
      <c r="U4" t="n">
        <v>248</v>
      </c>
      <c r="V4" t="n">
        <v>-232</v>
      </c>
      <c r="W4" t="n">
        <v>-387</v>
      </c>
      <c r="X4" t="n">
        <v>-610</v>
      </c>
      <c r="Y4" t="n">
        <v>-1287</v>
      </c>
      <c r="Z4" t="n">
        <v>418</v>
      </c>
      <c r="AA4" t="n">
        <v>858</v>
      </c>
      <c r="AB4" t="n">
        <v>95</v>
      </c>
    </row>
    <row r="5">
      <c r="A5" t="inlineStr">
        <is>
          <t>Construction</t>
        </is>
      </c>
      <c r="B5" t="n">
        <v>-1529</v>
      </c>
      <c r="C5" t="n">
        <v>-758</v>
      </c>
      <c r="D5" t="n">
        <v>1095</v>
      </c>
      <c r="E5" t="n">
        <v>-4650</v>
      </c>
      <c r="F5" t="n">
        <v>2006</v>
      </c>
      <c r="G5" t="n">
        <v>1408</v>
      </c>
      <c r="H5" t="n">
        <v>-2879</v>
      </c>
      <c r="I5" t="n">
        <v>-3351</v>
      </c>
      <c r="J5" t="n">
        <v>-249</v>
      </c>
      <c r="K5" t="n">
        <v>-2886</v>
      </c>
      <c r="L5" t="n">
        <v>267</v>
      </c>
      <c r="M5" t="n">
        <v>-238</v>
      </c>
      <c r="N5" t="n">
        <v>-1354</v>
      </c>
      <c r="O5" t="n">
        <v>1356</v>
      </c>
      <c r="P5" t="n">
        <v>856</v>
      </c>
      <c r="Q5" t="n">
        <v>2233</v>
      </c>
      <c r="R5" t="n">
        <v>-442</v>
      </c>
      <c r="S5" t="n">
        <v>207</v>
      </c>
      <c r="T5" t="n">
        <v>-1532</v>
      </c>
      <c r="U5" t="n">
        <v>4487</v>
      </c>
      <c r="V5" t="n">
        <v>-9154</v>
      </c>
      <c r="W5" t="n">
        <v>926</v>
      </c>
      <c r="X5" t="n">
        <v>-1211</v>
      </c>
      <c r="Y5" t="n">
        <v>2881</v>
      </c>
      <c r="Z5" t="n">
        <v>-1199</v>
      </c>
      <c r="AA5" t="n">
        <v>38</v>
      </c>
      <c r="AB5" t="n">
        <v>1311</v>
      </c>
    </row>
    <row r="6">
      <c r="A6" t="inlineStr">
        <is>
          <t>Construction Materials</t>
        </is>
      </c>
      <c r="B6" t="n">
        <v>680</v>
      </c>
      <c r="C6" t="n">
        <v>-1142</v>
      </c>
      <c r="D6" t="n">
        <v>-901</v>
      </c>
      <c r="E6" t="n">
        <v>-3440</v>
      </c>
      <c r="F6" t="n">
        <v>-2715</v>
      </c>
      <c r="G6" t="n">
        <v>-370</v>
      </c>
      <c r="H6" t="n">
        <v>-2070</v>
      </c>
      <c r="I6" t="n">
        <v>-3844</v>
      </c>
      <c r="J6" t="n">
        <v>-1597</v>
      </c>
      <c r="K6" t="n">
        <v>-197</v>
      </c>
      <c r="L6" t="n">
        <v>575</v>
      </c>
      <c r="M6" t="n">
        <v>258</v>
      </c>
      <c r="N6" t="n">
        <v>329</v>
      </c>
      <c r="O6" t="n">
        <v>2475</v>
      </c>
      <c r="P6" t="n">
        <v>-1413</v>
      </c>
      <c r="Q6" t="n">
        <v>-1292</v>
      </c>
      <c r="R6" t="n">
        <v>-861</v>
      </c>
      <c r="S6" t="n">
        <v>-1674</v>
      </c>
      <c r="T6" t="n">
        <v>-857</v>
      </c>
      <c r="U6" t="n">
        <v>321</v>
      </c>
      <c r="V6" t="n">
        <v>-3144</v>
      </c>
      <c r="W6" t="n">
        <v>-1271</v>
      </c>
      <c r="X6" t="n">
        <v>-1641</v>
      </c>
      <c r="Y6" t="n">
        <v>-3076</v>
      </c>
      <c r="Z6" t="n">
        <v>2445</v>
      </c>
      <c r="AA6" t="n">
        <v>134</v>
      </c>
      <c r="AB6" t="n">
        <v>-1205</v>
      </c>
    </row>
    <row r="7">
      <c r="A7" t="inlineStr">
        <is>
          <t>Consumer Durables</t>
        </is>
      </c>
      <c r="B7" t="n">
        <v>-188</v>
      </c>
      <c r="C7" t="n">
        <v>4713</v>
      </c>
      <c r="D7" t="n">
        <v>3736</v>
      </c>
      <c r="E7" t="n">
        <v>-2863</v>
      </c>
      <c r="F7" t="n">
        <v>-7</v>
      </c>
      <c r="G7" t="n">
        <v>-900</v>
      </c>
      <c r="H7" t="n">
        <v>-3800</v>
      </c>
      <c r="I7" t="n">
        <v>-2290</v>
      </c>
      <c r="J7" t="n">
        <v>-1518</v>
      </c>
      <c r="K7" t="n">
        <v>-61</v>
      </c>
      <c r="L7" t="n">
        <v>-1734</v>
      </c>
      <c r="M7" t="n">
        <v>-2493</v>
      </c>
      <c r="N7" t="n">
        <v>-2614</v>
      </c>
      <c r="O7" t="n">
        <v>-1969</v>
      </c>
      <c r="P7" t="n">
        <v>-3627</v>
      </c>
      <c r="Q7" t="n">
        <v>-1756</v>
      </c>
      <c r="R7" t="n">
        <v>-106</v>
      </c>
      <c r="S7" t="n">
        <v>599</v>
      </c>
      <c r="T7" t="n">
        <v>-1050</v>
      </c>
      <c r="U7" t="n">
        <v>-756</v>
      </c>
      <c r="V7" t="n">
        <v>-2902</v>
      </c>
      <c r="W7" t="n">
        <v>80</v>
      </c>
      <c r="X7" t="n">
        <v>-1449</v>
      </c>
      <c r="Y7" t="n">
        <v>1930</v>
      </c>
      <c r="Z7" t="n">
        <v>7342</v>
      </c>
      <c r="AA7" t="n">
        <v>3903</v>
      </c>
      <c r="AB7" t="n">
        <v>-1905</v>
      </c>
    </row>
    <row r="8">
      <c r="A8" t="inlineStr">
        <is>
          <t>Consumer Services</t>
        </is>
      </c>
      <c r="B8" t="n">
        <v>3429</v>
      </c>
      <c r="C8" t="n">
        <v>4158</v>
      </c>
      <c r="D8" t="n">
        <v>-2940</v>
      </c>
      <c r="E8" t="n">
        <v>-8863</v>
      </c>
      <c r="F8" t="n">
        <v>-158</v>
      </c>
      <c r="G8" t="n">
        <v>3220</v>
      </c>
      <c r="H8" t="n">
        <v>-8347</v>
      </c>
      <c r="I8" t="n">
        <v>-2857</v>
      </c>
      <c r="J8" t="n">
        <v>-3058</v>
      </c>
      <c r="K8" t="n">
        <v>1797</v>
      </c>
      <c r="L8" t="n">
        <v>-491</v>
      </c>
      <c r="M8" t="n">
        <v>1348</v>
      </c>
      <c r="N8" t="n">
        <v>3017</v>
      </c>
      <c r="O8" t="n">
        <v>-458</v>
      </c>
      <c r="P8" t="n">
        <v>-3360</v>
      </c>
      <c r="Q8" t="n">
        <v>-3462</v>
      </c>
      <c r="R8" t="n">
        <v>-3993</v>
      </c>
      <c r="S8" t="n">
        <v>3340</v>
      </c>
      <c r="T8" t="n">
        <v>-5513</v>
      </c>
      <c r="U8" t="n">
        <v>-4172</v>
      </c>
      <c r="V8" t="n">
        <v>-2141</v>
      </c>
      <c r="W8" t="n">
        <v>-7770</v>
      </c>
      <c r="X8" t="n">
        <v>-1995</v>
      </c>
      <c r="Y8" t="n">
        <v>1229</v>
      </c>
      <c r="Z8" t="n">
        <v>10201</v>
      </c>
      <c r="AA8" t="n">
        <v>8417</v>
      </c>
      <c r="AB8" t="n">
        <v>2333</v>
      </c>
    </row>
    <row r="9">
      <c r="A9" t="inlineStr">
        <is>
          <t>Diversified</t>
        </is>
      </c>
      <c r="B9" t="n">
        <v>370</v>
      </c>
      <c r="C9" t="n">
        <v>-54</v>
      </c>
      <c r="D9" t="n">
        <v>-8</v>
      </c>
      <c r="E9" t="n">
        <v>21</v>
      </c>
      <c r="F9" t="n">
        <v>-23</v>
      </c>
      <c r="G9" t="n">
        <v>-197</v>
      </c>
      <c r="H9" t="n">
        <v>227</v>
      </c>
      <c r="I9" t="n">
        <v>-251</v>
      </c>
      <c r="J9" t="n">
        <v>-317</v>
      </c>
      <c r="K9" t="n">
        <v>33</v>
      </c>
      <c r="L9" t="n">
        <v>-112</v>
      </c>
      <c r="M9" t="n">
        <v>-455</v>
      </c>
      <c r="N9" t="n">
        <v>-57</v>
      </c>
      <c r="O9" t="n">
        <v>-113</v>
      </c>
      <c r="P9" t="n">
        <v>-220</v>
      </c>
      <c r="Q9" t="n">
        <v>-104</v>
      </c>
      <c r="R9" t="n">
        <v>56</v>
      </c>
      <c r="S9" t="n">
        <v>-109</v>
      </c>
      <c r="T9" t="n">
        <v>-9</v>
      </c>
      <c r="U9" t="n">
        <v>0</v>
      </c>
      <c r="V9" t="n">
        <v>-21</v>
      </c>
      <c r="W9" t="n">
        <v>8</v>
      </c>
      <c r="X9" t="n">
        <v>19</v>
      </c>
      <c r="Y9" t="n">
        <v>-6</v>
      </c>
      <c r="Z9" t="n">
        <v>28</v>
      </c>
      <c r="AA9" t="n">
        <v>-22</v>
      </c>
      <c r="AB9" t="n">
        <v>92</v>
      </c>
    </row>
    <row r="10">
      <c r="A10" t="inlineStr">
        <is>
          <t>Fast Moving Consumer Goods</t>
        </is>
      </c>
      <c r="B10" t="n">
        <v>975</v>
      </c>
      <c r="C10" t="n">
        <v>3600</v>
      </c>
      <c r="D10" t="n">
        <v>4900</v>
      </c>
      <c r="E10" t="n">
        <v>-11582</v>
      </c>
      <c r="F10" t="n">
        <v>-1405</v>
      </c>
      <c r="G10" t="n">
        <v>-2789</v>
      </c>
      <c r="H10" t="n">
        <v>-5428</v>
      </c>
      <c r="I10" t="n">
        <v>-6904</v>
      </c>
      <c r="J10" t="n">
        <v>-5593</v>
      </c>
      <c r="K10" t="n">
        <v>2917</v>
      </c>
      <c r="L10" t="n">
        <v>815</v>
      </c>
      <c r="M10" t="n">
        <v>-3985</v>
      </c>
      <c r="N10" t="n">
        <v>1558</v>
      </c>
      <c r="O10" t="n">
        <v>-1097</v>
      </c>
      <c r="P10" t="n">
        <v>-4202</v>
      </c>
      <c r="Q10" t="n">
        <v>-4259</v>
      </c>
      <c r="R10" t="n">
        <v>-4764</v>
      </c>
      <c r="S10" t="n">
        <v>-5844</v>
      </c>
      <c r="T10" t="n">
        <v>-7497</v>
      </c>
      <c r="U10" t="n">
        <v>-1951</v>
      </c>
      <c r="V10" t="n">
        <v>-5419</v>
      </c>
      <c r="W10" t="n">
        <v>-3205</v>
      </c>
      <c r="X10" t="n">
        <v>-3561</v>
      </c>
      <c r="Y10" t="n">
        <v>-5537</v>
      </c>
      <c r="Z10" t="n">
        <v>-628</v>
      </c>
      <c r="AA10" t="n">
        <v>-1916</v>
      </c>
      <c r="AB10" t="n">
        <v>-3001</v>
      </c>
    </row>
    <row r="11">
      <c r="A11" t="inlineStr">
        <is>
          <t>Financial Services</t>
        </is>
      </c>
      <c r="B11" t="n">
        <v>-7648</v>
      </c>
      <c r="C11" t="n">
        <v>-12008</v>
      </c>
      <c r="D11" t="n">
        <v>27200</v>
      </c>
      <c r="E11" t="n">
        <v>-26139</v>
      </c>
      <c r="F11" t="n">
        <v>2505</v>
      </c>
      <c r="G11" t="n">
        <v>3086</v>
      </c>
      <c r="H11" t="n">
        <v>-24949</v>
      </c>
      <c r="I11" t="n">
        <v>-6991</v>
      </c>
      <c r="J11" t="n">
        <v>14274</v>
      </c>
      <c r="K11" t="n">
        <v>18409</v>
      </c>
      <c r="L11" t="n">
        <v>4028</v>
      </c>
      <c r="M11" t="n">
        <v>8946</v>
      </c>
      <c r="N11" t="n">
        <v>-5900</v>
      </c>
      <c r="O11" t="n">
        <v>-23288</v>
      </c>
      <c r="P11" t="n">
        <v>992</v>
      </c>
      <c r="Q11" t="n">
        <v>13279</v>
      </c>
      <c r="R11" t="n">
        <v>-3178</v>
      </c>
      <c r="S11" t="n">
        <v>-10525</v>
      </c>
      <c r="T11" t="n">
        <v>-8592</v>
      </c>
      <c r="U11" t="n">
        <v>8418</v>
      </c>
      <c r="V11" t="n">
        <v>-60655</v>
      </c>
      <c r="W11" t="n">
        <v>-30856</v>
      </c>
      <c r="X11" t="n">
        <v>-23141</v>
      </c>
      <c r="Y11" t="n">
        <v>3371</v>
      </c>
      <c r="Z11" t="n">
        <v>-694</v>
      </c>
      <c r="AA11" t="n">
        <v>10494</v>
      </c>
      <c r="AB11" t="n">
        <v>-13147</v>
      </c>
    </row>
    <row r="12">
      <c r="A12" t="inlineStr">
        <is>
          <t>Forest Materials</t>
        </is>
      </c>
      <c r="B12" t="n">
        <v>150</v>
      </c>
      <c r="C12" t="n">
        <v>-102</v>
      </c>
      <c r="D12" t="n">
        <v>58</v>
      </c>
      <c r="E12" t="n">
        <v>-75</v>
      </c>
      <c r="F12" t="n">
        <v>74</v>
      </c>
      <c r="G12" t="n">
        <v>65</v>
      </c>
      <c r="H12" t="n">
        <v>-115</v>
      </c>
      <c r="I12" t="n">
        <v>-17</v>
      </c>
      <c r="J12" t="n">
        <v>18</v>
      </c>
      <c r="K12" t="n">
        <v>-34</v>
      </c>
      <c r="L12" t="n">
        <v>9</v>
      </c>
      <c r="M12" t="n">
        <v>-42</v>
      </c>
      <c r="N12" t="n">
        <v>39</v>
      </c>
      <c r="O12" t="n">
        <v>-48</v>
      </c>
      <c r="P12" t="n">
        <v>-24</v>
      </c>
      <c r="Q12" t="n">
        <v>94</v>
      </c>
      <c r="R12" t="n">
        <v>-31</v>
      </c>
      <c r="S12" t="n">
        <v>-54</v>
      </c>
      <c r="T12" t="n">
        <v>2</v>
      </c>
      <c r="U12" t="n">
        <v>38</v>
      </c>
      <c r="V12" t="n">
        <v>-17</v>
      </c>
      <c r="W12" t="n">
        <v>54</v>
      </c>
      <c r="X12" t="n">
        <v>-40</v>
      </c>
      <c r="Y12" t="n">
        <v>-24</v>
      </c>
      <c r="Z12" t="n">
        <v>29</v>
      </c>
      <c r="AA12" t="n">
        <v>-16</v>
      </c>
      <c r="AB12" t="n">
        <v>13</v>
      </c>
    </row>
    <row r="13">
      <c r="A13" t="inlineStr">
        <is>
          <t>Healthcare</t>
        </is>
      </c>
      <c r="B13" t="n">
        <v>5054</v>
      </c>
      <c r="C13" t="n">
        <v>5831</v>
      </c>
      <c r="D13" t="n">
        <v>6639</v>
      </c>
      <c r="E13" t="n">
        <v>-55</v>
      </c>
      <c r="F13" t="n">
        <v>480</v>
      </c>
      <c r="G13" t="n">
        <v>3767</v>
      </c>
      <c r="H13" t="n">
        <v>-4372</v>
      </c>
      <c r="I13" t="n">
        <v>-1462</v>
      </c>
      <c r="J13" t="n">
        <v>89</v>
      </c>
      <c r="K13" t="n">
        <v>-728</v>
      </c>
      <c r="L13" t="n">
        <v>-2614</v>
      </c>
      <c r="M13" t="n">
        <v>-403</v>
      </c>
      <c r="N13" t="n">
        <v>-57</v>
      </c>
      <c r="O13" t="n">
        <v>-1417</v>
      </c>
      <c r="P13" t="n">
        <v>-6122</v>
      </c>
      <c r="Q13" t="n">
        <v>-3104</v>
      </c>
      <c r="R13" t="n">
        <v>-1783</v>
      </c>
      <c r="S13" t="n">
        <v>-2994</v>
      </c>
      <c r="T13" t="n">
        <v>-6162</v>
      </c>
      <c r="U13" t="n">
        <v>-329</v>
      </c>
      <c r="V13" t="n">
        <v>-4638</v>
      </c>
      <c r="W13" t="n">
        <v>-6926</v>
      </c>
      <c r="X13" t="n">
        <v>183</v>
      </c>
      <c r="Y13" t="n">
        <v>-3066</v>
      </c>
      <c r="Z13" t="n">
        <v>7755</v>
      </c>
      <c r="AA13" t="n">
        <v>5931</v>
      </c>
      <c r="AB13" t="n">
        <v>2117</v>
      </c>
    </row>
    <row r="14">
      <c r="A14" t="inlineStr">
        <is>
          <t>Information Technology</t>
        </is>
      </c>
      <c r="B14" t="n">
        <v>11763</v>
      </c>
      <c r="C14" t="n">
        <v>4036</v>
      </c>
      <c r="D14" t="n">
        <v>-1219</v>
      </c>
      <c r="E14" t="n">
        <v>-2899</v>
      </c>
      <c r="F14" t="n">
        <v>5516</v>
      </c>
      <c r="G14" t="n">
        <v>9050</v>
      </c>
      <c r="H14" t="n">
        <v>-6471</v>
      </c>
      <c r="I14" t="n">
        <v>805</v>
      </c>
      <c r="J14" t="n">
        <v>-8451</v>
      </c>
      <c r="K14" t="n">
        <v>-15213</v>
      </c>
      <c r="L14" t="n">
        <v>-2436</v>
      </c>
      <c r="M14" t="n">
        <v>1166</v>
      </c>
      <c r="N14" t="n">
        <v>-19901</v>
      </c>
      <c r="O14" t="n">
        <v>-11285</v>
      </c>
      <c r="P14" t="n">
        <v>-6050</v>
      </c>
      <c r="Q14" t="n">
        <v>-2194</v>
      </c>
      <c r="R14" t="n">
        <v>-5794</v>
      </c>
      <c r="S14" t="n">
        <v>1126</v>
      </c>
      <c r="T14" t="n">
        <v>-1835</v>
      </c>
      <c r="U14" t="n">
        <v>-16949</v>
      </c>
      <c r="V14" t="n">
        <v>-1874</v>
      </c>
      <c r="W14" t="n">
        <v>-4212</v>
      </c>
      <c r="X14" t="n">
        <v>-1911</v>
      </c>
      <c r="Y14" t="n">
        <v>-7466</v>
      </c>
      <c r="Z14" t="n">
        <v>3358</v>
      </c>
      <c r="AA14" t="n">
        <v>4103</v>
      </c>
      <c r="AB14" t="n">
        <v>-998</v>
      </c>
    </row>
    <row r="15">
      <c r="A15" t="inlineStr">
        <is>
          <t>Media, Entertainment &amp; Publication</t>
        </is>
      </c>
      <c r="B15" t="n">
        <v>474</v>
      </c>
      <c r="C15" t="n">
        <v>-198</v>
      </c>
      <c r="D15" t="n">
        <v>118</v>
      </c>
      <c r="E15" t="n">
        <v>-13</v>
      </c>
      <c r="F15" t="n">
        <v>-3</v>
      </c>
      <c r="G15" t="n">
        <v>125</v>
      </c>
      <c r="H15" t="n">
        <v>180</v>
      </c>
      <c r="I15" t="n">
        <v>22</v>
      </c>
      <c r="J15" t="n">
        <v>446</v>
      </c>
      <c r="K15" t="n">
        <v>112</v>
      </c>
      <c r="L15" t="n">
        <v>137</v>
      </c>
      <c r="M15" t="n">
        <v>34</v>
      </c>
      <c r="N15" t="n">
        <v>-197</v>
      </c>
      <c r="O15" t="n">
        <v>165</v>
      </c>
      <c r="P15" t="n">
        <v>77</v>
      </c>
      <c r="Q15" t="n">
        <v>-46</v>
      </c>
      <c r="R15" t="n">
        <v>-309</v>
      </c>
      <c r="S15" t="n">
        <v>-320</v>
      </c>
      <c r="T15" t="n">
        <v>-178</v>
      </c>
      <c r="U15" t="n">
        <v>72</v>
      </c>
      <c r="V15" t="n">
        <v>-17</v>
      </c>
      <c r="W15" t="n">
        <v>-208</v>
      </c>
      <c r="X15" t="n">
        <v>-122</v>
      </c>
      <c r="Y15" t="n">
        <v>-359</v>
      </c>
      <c r="Z15" t="n">
        <v>-265</v>
      </c>
      <c r="AA15" t="n">
        <v>66</v>
      </c>
      <c r="AB15" t="n">
        <v>-62</v>
      </c>
    </row>
    <row r="16">
      <c r="A16" t="inlineStr">
        <is>
          <t>Metals &amp; Mining</t>
        </is>
      </c>
      <c r="B16" t="n">
        <v>7310</v>
      </c>
      <c r="C16" t="n">
        <v>-3773</v>
      </c>
      <c r="D16" t="n">
        <v>1155</v>
      </c>
      <c r="E16" t="n">
        <v>147</v>
      </c>
      <c r="F16" t="n">
        <v>-1205</v>
      </c>
      <c r="G16" t="n">
        <v>971</v>
      </c>
      <c r="H16" t="n">
        <v>-2382</v>
      </c>
      <c r="I16" t="n">
        <v>-1164</v>
      </c>
      <c r="J16" t="n">
        <v>1901</v>
      </c>
      <c r="K16" t="n">
        <v>-3403</v>
      </c>
      <c r="L16" t="n">
        <v>70</v>
      </c>
      <c r="M16" t="n">
        <v>-357</v>
      </c>
      <c r="N16" t="n">
        <v>3365</v>
      </c>
      <c r="O16" t="n">
        <v>-660</v>
      </c>
      <c r="P16" t="n">
        <v>1840</v>
      </c>
      <c r="Q16" t="n">
        <v>3147</v>
      </c>
      <c r="R16" t="n">
        <v>-680</v>
      </c>
      <c r="S16" t="n">
        <v>2984</v>
      </c>
      <c r="T16" t="n">
        <v>11526</v>
      </c>
      <c r="U16" t="n">
        <v>5638</v>
      </c>
      <c r="V16" t="n">
        <v>-3165</v>
      </c>
      <c r="W16" t="n">
        <v>1218</v>
      </c>
      <c r="X16" t="n">
        <v>6697</v>
      </c>
      <c r="Y16" t="n">
        <v>-9093</v>
      </c>
      <c r="Z16" t="n">
        <v>4937</v>
      </c>
      <c r="AA16" t="n">
        <v>1807</v>
      </c>
      <c r="AB16" t="n">
        <v>-3003</v>
      </c>
    </row>
    <row r="17">
      <c r="A17" t="inlineStr">
        <is>
          <t>Oil, Gas &amp; Consumable Fuels</t>
        </is>
      </c>
      <c r="B17" t="n">
        <v>1619</v>
      </c>
      <c r="C17" t="n">
        <v>1207</v>
      </c>
      <c r="D17" t="n">
        <v>-640</v>
      </c>
      <c r="E17" t="n">
        <v>-21444</v>
      </c>
      <c r="F17" t="n">
        <v>-13346</v>
      </c>
      <c r="G17" t="n">
        <v>-10826</v>
      </c>
      <c r="H17" t="n">
        <v>-1572</v>
      </c>
      <c r="I17" t="n">
        <v>-3377</v>
      </c>
      <c r="J17" t="n">
        <v>-3419</v>
      </c>
      <c r="K17" t="n">
        <v>-358</v>
      </c>
      <c r="L17" t="n">
        <v>2520</v>
      </c>
      <c r="M17" t="n">
        <v>6137</v>
      </c>
      <c r="N17" t="n">
        <v>-3272</v>
      </c>
      <c r="O17" t="n">
        <v>-6108</v>
      </c>
      <c r="P17" t="n">
        <v>-774</v>
      </c>
      <c r="Q17" t="n">
        <v>9129</v>
      </c>
      <c r="R17" t="n">
        <v>7169</v>
      </c>
      <c r="S17" t="n">
        <v>2356</v>
      </c>
      <c r="T17" t="n">
        <v>-940</v>
      </c>
      <c r="U17" t="n">
        <v>5381</v>
      </c>
      <c r="V17" t="n">
        <v>-4129</v>
      </c>
      <c r="W17" t="n">
        <v>-6703</v>
      </c>
      <c r="X17" t="n">
        <v>-8978</v>
      </c>
      <c r="Y17" t="n">
        <v>-13277</v>
      </c>
      <c r="Z17" t="n">
        <v>-255</v>
      </c>
      <c r="AA17" t="n">
        <v>-1761</v>
      </c>
      <c r="AB17" t="n">
        <v>-6854</v>
      </c>
    </row>
    <row r="18">
      <c r="A18" t="inlineStr">
        <is>
          <t>Power</t>
        </is>
      </c>
      <c r="B18" t="n">
        <v>-3796</v>
      </c>
      <c r="C18" t="n">
        <v>-1136</v>
      </c>
      <c r="D18" t="n">
        <v>1409</v>
      </c>
      <c r="E18" t="n">
        <v>-1510</v>
      </c>
      <c r="F18" t="n">
        <v>-797</v>
      </c>
      <c r="G18" t="n">
        <v>-1862</v>
      </c>
      <c r="H18" t="n">
        <v>-4198</v>
      </c>
      <c r="I18" t="n">
        <v>-3086</v>
      </c>
      <c r="J18" t="n">
        <v>-240</v>
      </c>
      <c r="K18" t="n">
        <v>907</v>
      </c>
      <c r="L18" t="n">
        <v>-2494</v>
      </c>
      <c r="M18" t="n">
        <v>-6311</v>
      </c>
      <c r="N18" t="n">
        <v>62</v>
      </c>
      <c r="O18" t="n">
        <v>-4066</v>
      </c>
      <c r="P18" t="n">
        <v>-2693</v>
      </c>
      <c r="Q18" t="n">
        <v>965</v>
      </c>
      <c r="R18" t="n">
        <v>-2615</v>
      </c>
      <c r="S18" t="n">
        <v>-2753</v>
      </c>
      <c r="T18" t="n">
        <v>-1867</v>
      </c>
      <c r="U18" t="n">
        <v>4506</v>
      </c>
      <c r="V18" t="n">
        <v>-230</v>
      </c>
      <c r="W18" t="n">
        <v>5557</v>
      </c>
      <c r="X18" t="n">
        <v>-681</v>
      </c>
      <c r="Y18" t="n">
        <v>-6320</v>
      </c>
      <c r="Z18" t="n">
        <v>-2863</v>
      </c>
      <c r="AA18" t="n">
        <v>-1553</v>
      </c>
      <c r="AB18" t="n">
        <v>-2223</v>
      </c>
    </row>
    <row r="19">
      <c r="A19" t="inlineStr">
        <is>
          <t>Realty</t>
        </is>
      </c>
      <c r="B19" t="n">
        <v>228</v>
      </c>
      <c r="C19" t="n">
        <v>-1166</v>
      </c>
      <c r="D19" t="n">
        <v>5375</v>
      </c>
      <c r="E19" t="n">
        <v>-1390</v>
      </c>
      <c r="F19" t="n">
        <v>2061</v>
      </c>
      <c r="G19" t="n">
        <v>4778</v>
      </c>
      <c r="H19" t="n">
        <v>-1002</v>
      </c>
      <c r="I19" t="n">
        <v>-1189</v>
      </c>
      <c r="J19" t="n">
        <v>585</v>
      </c>
      <c r="K19" t="n">
        <v>-713</v>
      </c>
      <c r="L19" t="n">
        <v>-1664</v>
      </c>
      <c r="M19" t="n">
        <v>1341</v>
      </c>
      <c r="N19" t="n">
        <v>-3933</v>
      </c>
      <c r="O19" t="n">
        <v>-1245</v>
      </c>
      <c r="P19" t="n">
        <v>-2259</v>
      </c>
      <c r="Q19" t="n">
        <v>-806</v>
      </c>
      <c r="R19" t="n">
        <v>-809</v>
      </c>
      <c r="S19" t="n">
        <v>-941</v>
      </c>
      <c r="T19" t="n">
        <v>-2655</v>
      </c>
      <c r="U19" t="n">
        <v>734</v>
      </c>
      <c r="V19" t="n">
        <v>-4693</v>
      </c>
      <c r="W19" t="n">
        <v>-2123</v>
      </c>
      <c r="X19" t="n">
        <v>-400</v>
      </c>
      <c r="Y19" t="n">
        <v>800</v>
      </c>
      <c r="Z19" t="n">
        <v>1793</v>
      </c>
      <c r="AA19" t="n">
        <v>-594</v>
      </c>
      <c r="AB19" t="n">
        <v>-743</v>
      </c>
    </row>
    <row r="20">
      <c r="A20" t="inlineStr">
        <is>
          <t>Services</t>
        </is>
      </c>
      <c r="B20" t="n">
        <v>-1474</v>
      </c>
      <c r="C20" t="n">
        <v>2163</v>
      </c>
      <c r="D20" t="n">
        <v>1725</v>
      </c>
      <c r="E20" t="n">
        <v>-903</v>
      </c>
      <c r="F20" t="n">
        <v>-3722</v>
      </c>
      <c r="G20" t="n">
        <v>1764</v>
      </c>
      <c r="H20" t="n">
        <v>-1593</v>
      </c>
      <c r="I20" t="n">
        <v>183</v>
      </c>
      <c r="J20" t="n">
        <v>578</v>
      </c>
      <c r="K20" t="n">
        <v>-192</v>
      </c>
      <c r="L20" t="n">
        <v>7972</v>
      </c>
      <c r="M20" t="n">
        <v>346</v>
      </c>
      <c r="N20" t="n">
        <v>3457</v>
      </c>
      <c r="O20" t="n">
        <v>2351</v>
      </c>
      <c r="P20" t="n">
        <v>-986</v>
      </c>
      <c r="Q20" t="n">
        <v>213</v>
      </c>
      <c r="R20" t="n">
        <v>-980</v>
      </c>
      <c r="S20" t="n">
        <v>-4278</v>
      </c>
      <c r="T20" t="n">
        <v>-1971</v>
      </c>
      <c r="U20" t="n">
        <v>1491</v>
      </c>
      <c r="V20" t="n">
        <v>-2575</v>
      </c>
      <c r="W20" t="n">
        <v>-953</v>
      </c>
      <c r="X20" t="n">
        <v>7204</v>
      </c>
      <c r="Y20" t="n">
        <v>2894</v>
      </c>
      <c r="Z20" t="n">
        <v>2404</v>
      </c>
      <c r="AA20" t="n">
        <v>1783</v>
      </c>
      <c r="AB20" t="n">
        <v>2302</v>
      </c>
    </row>
    <row r="21">
      <c r="A21" t="inlineStr">
        <is>
          <t>Sovereign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Telecommunication</t>
        </is>
      </c>
      <c r="B22" t="n">
        <v>3138</v>
      </c>
      <c r="C22" t="n">
        <v>2061</v>
      </c>
      <c r="D22" t="n">
        <v>1935</v>
      </c>
      <c r="E22" t="n">
        <v>-2698</v>
      </c>
      <c r="F22" t="n">
        <v>-5078</v>
      </c>
      <c r="G22" t="n">
        <v>372</v>
      </c>
      <c r="H22" t="n">
        <v>144</v>
      </c>
      <c r="I22" t="n">
        <v>7998</v>
      </c>
      <c r="J22" t="n">
        <v>3073</v>
      </c>
      <c r="K22" t="n">
        <v>4648</v>
      </c>
      <c r="L22" t="n">
        <v>8089</v>
      </c>
      <c r="M22" t="n">
        <v>2733</v>
      </c>
      <c r="N22" t="n">
        <v>1473</v>
      </c>
      <c r="O22" t="n">
        <v>5766</v>
      </c>
      <c r="P22" t="n">
        <v>-2422</v>
      </c>
      <c r="Q22" t="n">
        <v>2160</v>
      </c>
      <c r="R22" t="n">
        <v>14326</v>
      </c>
      <c r="S22" t="n">
        <v>234</v>
      </c>
      <c r="T22" t="n">
        <v>-4777</v>
      </c>
      <c r="U22" t="n">
        <v>-1881</v>
      </c>
      <c r="V22" t="n">
        <v>-5603</v>
      </c>
      <c r="W22" t="n">
        <v>-4400</v>
      </c>
      <c r="X22" t="n">
        <v>-415</v>
      </c>
      <c r="Y22" t="n">
        <v>-347</v>
      </c>
      <c r="Z22" t="n">
        <v>-5725</v>
      </c>
      <c r="AA22" t="n">
        <v>-4983</v>
      </c>
      <c r="AB22" t="n">
        <v>-3414</v>
      </c>
    </row>
    <row r="23">
      <c r="A23" t="inlineStr">
        <is>
          <t>Textiles</t>
        </is>
      </c>
      <c r="B23" t="n">
        <v>94</v>
      </c>
      <c r="C23" t="n">
        <v>376</v>
      </c>
      <c r="D23" t="n">
        <v>-19</v>
      </c>
      <c r="E23" t="n">
        <v>-37</v>
      </c>
      <c r="F23" t="n">
        <v>412</v>
      </c>
      <c r="G23" t="n">
        <v>889</v>
      </c>
      <c r="H23" t="n">
        <v>602</v>
      </c>
      <c r="I23" t="n">
        <v>33</v>
      </c>
      <c r="J23" t="n">
        <v>-76</v>
      </c>
      <c r="K23" t="n">
        <v>-144</v>
      </c>
      <c r="L23" t="n">
        <v>-89</v>
      </c>
      <c r="M23" t="n">
        <v>204</v>
      </c>
      <c r="N23" t="n">
        <v>276</v>
      </c>
      <c r="O23" t="n">
        <v>-650</v>
      </c>
      <c r="P23" t="n">
        <v>-158</v>
      </c>
      <c r="Q23" t="n">
        <v>-359</v>
      </c>
      <c r="R23" t="n">
        <v>-326</v>
      </c>
      <c r="S23" t="n">
        <v>-537</v>
      </c>
      <c r="T23" t="n">
        <v>-275</v>
      </c>
      <c r="U23" t="n">
        <v>-100</v>
      </c>
      <c r="V23" t="n">
        <v>-319</v>
      </c>
      <c r="W23" t="n">
        <v>-98</v>
      </c>
      <c r="X23" t="n">
        <v>-73</v>
      </c>
      <c r="Y23" t="n">
        <v>95</v>
      </c>
      <c r="Z23" t="n">
        <v>454</v>
      </c>
      <c r="AA23" t="n">
        <v>-293</v>
      </c>
      <c r="AB23" t="n">
        <v>646</v>
      </c>
    </row>
    <row r="24">
      <c r="A24" t="inlineStr">
        <is>
          <t>Utilities</t>
        </is>
      </c>
      <c r="B24" t="n">
        <v>-10</v>
      </c>
      <c r="C24" t="n">
        <v>104</v>
      </c>
      <c r="D24" t="n">
        <v>285</v>
      </c>
      <c r="E24" t="n">
        <v>292</v>
      </c>
      <c r="F24" t="n">
        <v>139</v>
      </c>
      <c r="G24" t="n">
        <v>69</v>
      </c>
      <c r="H24" t="n">
        <v>-46</v>
      </c>
      <c r="I24" t="n">
        <v>-76</v>
      </c>
      <c r="J24" t="n">
        <v>19</v>
      </c>
      <c r="K24" t="n">
        <v>9</v>
      </c>
      <c r="L24" t="n">
        <v>23</v>
      </c>
      <c r="M24" t="n">
        <v>-32</v>
      </c>
      <c r="N24" t="n">
        <v>-18</v>
      </c>
      <c r="O24" t="n">
        <v>-9</v>
      </c>
      <c r="P24" t="n">
        <v>-35</v>
      </c>
      <c r="Q24" t="n">
        <v>15</v>
      </c>
      <c r="R24" t="n">
        <v>35</v>
      </c>
      <c r="S24" t="n">
        <v>-30</v>
      </c>
      <c r="T24" t="n">
        <v>-102</v>
      </c>
      <c r="U24" t="n">
        <v>-6</v>
      </c>
      <c r="V24" t="n">
        <v>-11</v>
      </c>
      <c r="W24" t="n">
        <v>-8</v>
      </c>
      <c r="X24" t="n">
        <v>-47</v>
      </c>
      <c r="Y24" t="n">
        <v>223</v>
      </c>
      <c r="Z24" t="n">
        <v>-44</v>
      </c>
      <c r="AA24" t="n">
        <v>-31</v>
      </c>
      <c r="AB24" t="n">
        <v>161</v>
      </c>
    </row>
    <row r="25">
      <c r="A25" t="inlineStr">
        <is>
          <t>Others</t>
        </is>
      </c>
      <c r="B25" t="n">
        <v>1165</v>
      </c>
      <c r="C25" t="n">
        <v>2116</v>
      </c>
      <c r="D25" t="n">
        <v>4484</v>
      </c>
      <c r="E25" t="n">
        <v>6727</v>
      </c>
      <c r="F25" t="n">
        <v>1429</v>
      </c>
      <c r="G25" t="n">
        <v>3469</v>
      </c>
      <c r="H25" t="n">
        <v>1210</v>
      </c>
      <c r="I25" t="n">
        <v>1246</v>
      </c>
      <c r="J25" t="n">
        <v>2237</v>
      </c>
      <c r="K25" t="n">
        <v>1728</v>
      </c>
      <c r="L25" t="n">
        <v>256</v>
      </c>
      <c r="M25" t="n">
        <v>1105</v>
      </c>
      <c r="N25" t="n">
        <v>8136</v>
      </c>
      <c r="O25" t="n">
        <v>34</v>
      </c>
      <c r="P25" t="n">
        <v>427</v>
      </c>
      <c r="Q25" t="n">
        <v>1398</v>
      </c>
      <c r="R25" t="n">
        <v>1645</v>
      </c>
      <c r="S25" t="n">
        <v>1256</v>
      </c>
      <c r="T25" t="n">
        <v>-983</v>
      </c>
      <c r="U25" t="n">
        <v>1704</v>
      </c>
      <c r="V25" t="n">
        <v>2515</v>
      </c>
      <c r="W25" t="n">
        <v>1567</v>
      </c>
      <c r="X25" t="n">
        <v>-1062</v>
      </c>
      <c r="Y25" t="n">
        <v>1492</v>
      </c>
      <c r="Z25" t="n">
        <v>1550</v>
      </c>
      <c r="AA25" t="n">
        <v>-449</v>
      </c>
      <c r="AB25" t="n">
        <v>-703</v>
      </c>
    </row>
    <row r="26">
      <c r="A26" s="42" t="inlineStr">
        <is>
          <t>TOTAL</t>
        </is>
      </c>
      <c r="B26" s="42">
        <f>SUM(B2:B25)</f>
        <v/>
      </c>
      <c r="C26" s="42">
        <f>SUM(C2:C25)</f>
        <v/>
      </c>
      <c r="D26" s="42">
        <f>SUM(D2:D25)</f>
        <v/>
      </c>
      <c r="E26" s="42">
        <f>SUM(E2:E25)</f>
        <v/>
      </c>
      <c r="F26" s="42">
        <f>SUM(F2:F25)</f>
        <v/>
      </c>
      <c r="G26" s="42">
        <f>SUM(G2:G25)</f>
        <v/>
      </c>
      <c r="H26" s="42">
        <f>SUM(H2:H25)</f>
        <v/>
      </c>
      <c r="I26" s="42">
        <f>SUM(I2:I25)</f>
        <v/>
      </c>
      <c r="J26" s="42">
        <f>SUM(J2:J25)</f>
        <v/>
      </c>
      <c r="K26" s="42">
        <f>SUM(K2:K25)</f>
        <v/>
      </c>
      <c r="L26" s="42">
        <f>SUM(L2:L25)</f>
        <v/>
      </c>
      <c r="M26" s="42">
        <f>SUM(M2:M25)</f>
        <v/>
      </c>
      <c r="N26" s="42">
        <f>SUM(N2:N25)</f>
        <v/>
      </c>
      <c r="O26" s="42">
        <f>SUM(O2:O25)</f>
        <v/>
      </c>
      <c r="P26" s="42">
        <f>SUM(P2:P25)</f>
        <v/>
      </c>
      <c r="Q26" s="42">
        <f>SUM(Q2:Q25)</f>
        <v/>
      </c>
      <c r="R26" s="42">
        <f>SUM(R2:R25)</f>
        <v/>
      </c>
      <c r="S26" s="42">
        <f>SUM(S2:S25)</f>
        <v/>
      </c>
      <c r="T26" s="42">
        <f>SUM(T2:T25)</f>
        <v/>
      </c>
      <c r="U26" s="42">
        <f>SUM(U2:U25)</f>
        <v/>
      </c>
      <c r="V26" s="42">
        <f>SUM(V2:V25)</f>
        <v/>
      </c>
      <c r="W26" s="42">
        <f>SUM(W2:W25)</f>
        <v/>
      </c>
      <c r="X26" s="42">
        <f>SUM(X2:X25)</f>
        <v/>
      </c>
      <c r="Y26" s="42">
        <f>SUM(Y2:Y25)</f>
        <v/>
      </c>
      <c r="Z26" s="42">
        <f>SUM(Z2:Z25)</f>
        <v/>
      </c>
      <c r="AA26" s="42">
        <f>SUM(AA2:AA25)</f>
        <v/>
      </c>
      <c r="AB26" s="42">
        <f>SUM(AB2:AB25)</f>
        <v/>
      </c>
    </row>
  </sheetData>
  <conditionalFormatting sqref="B2:AB25">
    <cfRule type="colorScale" priority="1">
      <colorScale>
        <cfvo type="num" val="-8000"/>
        <cfvo type="num" val="0"/>
        <cfvo type="num" val="8000"/>
        <color rgb="00C00000"/>
        <color rgb="00FFFFFF"/>
        <color rgb="002E7D3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style="30" min="1" max="1"/>
    <col width="14" customWidth="1" style="30" min="2" max="2"/>
    <col width="14" customWidth="1" style="30" min="3" max="3"/>
    <col width="14" customWidth="1" style="30" min="4" max="4"/>
    <col width="14" customWidth="1" style="30" min="5" max="5"/>
    <col width="14" customWidth="1" style="30" min="6" max="6"/>
    <col width="14" customWidth="1" style="30" min="7" max="7"/>
    <col width="14" customWidth="1" style="30" min="8" max="8"/>
    <col width="14" customWidth="1" style="30" min="9" max="9"/>
    <col width="14" customWidth="1" style="30" min="10" max="10"/>
  </cols>
  <sheetData>
    <row r="1">
      <c r="A1" s="40" t="inlineStr">
        <is>
          <t>Sector</t>
        </is>
      </c>
      <c r="B1" s="41" t="inlineStr">
        <is>
          <t>2024 Q3</t>
        </is>
      </c>
      <c r="C1" s="41" t="inlineStr">
        <is>
          <t>2024 Q4</t>
        </is>
      </c>
      <c r="D1" s="41" t="inlineStr">
        <is>
          <t>2025 Q1</t>
        </is>
      </c>
      <c r="E1" s="41" t="inlineStr">
        <is>
          <t>2025 Q2</t>
        </is>
      </c>
      <c r="F1" s="41" t="inlineStr">
        <is>
          <t>2025 Q3</t>
        </is>
      </c>
      <c r="G1" s="41" t="inlineStr">
        <is>
          <t>2025 Q4</t>
        </is>
      </c>
      <c r="H1" s="41" t="inlineStr">
        <is>
          <t>2026 Q1</t>
        </is>
      </c>
      <c r="I1" s="41" t="inlineStr">
        <is>
          <t>2026 Q2</t>
        </is>
      </c>
      <c r="J1" s="41" t="inlineStr">
        <is>
          <t>2026 Q3</t>
        </is>
      </c>
    </row>
    <row r="2">
      <c r="A2" t="inlineStr">
        <is>
          <t>Automobile and Auto Components</t>
        </is>
      </c>
      <c r="B2" t="n">
        <v>-2857</v>
      </c>
      <c r="C2" t="n">
        <v>-22275</v>
      </c>
      <c r="D2" t="n">
        <v>-12656</v>
      </c>
      <c r="E2" t="n">
        <v>1618</v>
      </c>
      <c r="F2" t="n">
        <v>1860</v>
      </c>
      <c r="G2" t="n">
        <v>-2720</v>
      </c>
      <c r="H2" t="n">
        <v>-12506</v>
      </c>
      <c r="I2" t="n">
        <v>-18379</v>
      </c>
      <c r="J2" t="n">
        <v>-7670</v>
      </c>
    </row>
    <row r="3">
      <c r="A3" t="inlineStr">
        <is>
          <t>Capital Goods</t>
        </is>
      </c>
      <c r="B3" t="n">
        <v>8620</v>
      </c>
      <c r="C3" t="n">
        <v>19</v>
      </c>
      <c r="D3" t="n">
        <v>-10460</v>
      </c>
      <c r="E3" t="n">
        <v>3421</v>
      </c>
      <c r="F3" t="n">
        <v>5211</v>
      </c>
      <c r="G3" t="n">
        <v>-753</v>
      </c>
      <c r="H3" t="n">
        <v>18044</v>
      </c>
      <c r="I3" t="n">
        <v>3110</v>
      </c>
      <c r="J3" t="n">
        <v>-7130</v>
      </c>
    </row>
    <row r="4">
      <c r="A4" t="inlineStr">
        <is>
          <t>Chemicals</t>
        </is>
      </c>
      <c r="B4" t="n">
        <v>911</v>
      </c>
      <c r="C4" t="n">
        <v>1196</v>
      </c>
      <c r="D4" t="n">
        <v>1275</v>
      </c>
      <c r="E4" t="n">
        <v>4575</v>
      </c>
      <c r="F4" t="n">
        <v>2317</v>
      </c>
      <c r="G4" t="n">
        <v>-2150</v>
      </c>
      <c r="H4" t="n">
        <v>156</v>
      </c>
      <c r="I4" t="n">
        <v>-2284</v>
      </c>
      <c r="J4" t="n">
        <v>1371</v>
      </c>
    </row>
    <row r="5">
      <c r="A5" t="inlineStr">
        <is>
          <t>Construction</t>
        </is>
      </c>
      <c r="B5" t="n">
        <v>-1192</v>
      </c>
      <c r="C5" t="n">
        <v>-1236</v>
      </c>
      <c r="D5" t="n">
        <v>-6479</v>
      </c>
      <c r="E5" t="n">
        <v>-2857</v>
      </c>
      <c r="F5" t="n">
        <v>858</v>
      </c>
      <c r="G5" t="n">
        <v>1998</v>
      </c>
      <c r="H5" t="n">
        <v>-6199</v>
      </c>
      <c r="I5" t="n">
        <v>2596</v>
      </c>
      <c r="J5" t="n">
        <v>150</v>
      </c>
    </row>
    <row r="6">
      <c r="A6" t="inlineStr">
        <is>
          <t>Construction Materials</t>
        </is>
      </c>
      <c r="B6" t="n">
        <v>-1363</v>
      </c>
      <c r="C6" t="n">
        <v>-6525</v>
      </c>
      <c r="D6" t="n">
        <v>-7511</v>
      </c>
      <c r="E6" t="n">
        <v>636</v>
      </c>
      <c r="F6" t="n">
        <v>1391</v>
      </c>
      <c r="G6" t="n">
        <v>-3827</v>
      </c>
      <c r="H6" t="n">
        <v>-3680</v>
      </c>
      <c r="I6" t="n">
        <v>-5988</v>
      </c>
      <c r="J6" t="n">
        <v>1374</v>
      </c>
    </row>
    <row r="7">
      <c r="A7" t="inlineStr">
        <is>
          <t>Consumer Durables</t>
        </is>
      </c>
      <c r="B7" t="n">
        <v>8261</v>
      </c>
      <c r="C7" t="n">
        <v>-3770</v>
      </c>
      <c r="D7" t="n">
        <v>-7608</v>
      </c>
      <c r="E7" t="n">
        <v>-4288</v>
      </c>
      <c r="F7" t="n">
        <v>-8210</v>
      </c>
      <c r="G7" t="n">
        <v>-1263</v>
      </c>
      <c r="H7" t="n">
        <v>-4708</v>
      </c>
      <c r="I7" t="n">
        <v>561</v>
      </c>
      <c r="J7" t="n">
        <v>9340</v>
      </c>
    </row>
    <row r="8">
      <c r="A8" t="inlineStr">
        <is>
          <t>Consumer Services</t>
        </is>
      </c>
      <c r="B8" t="n">
        <v>4647</v>
      </c>
      <c r="C8" t="n">
        <v>-5801</v>
      </c>
      <c r="D8" t="n">
        <v>-14262</v>
      </c>
      <c r="E8" t="n">
        <v>2654</v>
      </c>
      <c r="F8" t="n">
        <v>-801</v>
      </c>
      <c r="G8" t="n">
        <v>-4115</v>
      </c>
      <c r="H8" t="n">
        <v>-11826</v>
      </c>
      <c r="I8" t="n">
        <v>-8536</v>
      </c>
      <c r="J8" t="n">
        <v>20951</v>
      </c>
    </row>
    <row r="9">
      <c r="A9" t="inlineStr">
        <is>
          <t>Diversified</t>
        </is>
      </c>
      <c r="B9" t="n">
        <v>308</v>
      </c>
      <c r="C9" t="n">
        <v>-199</v>
      </c>
      <c r="D9" t="n">
        <v>-341</v>
      </c>
      <c r="E9" t="n">
        <v>-534</v>
      </c>
      <c r="F9" t="n">
        <v>-390</v>
      </c>
      <c r="G9" t="n">
        <v>-157</v>
      </c>
      <c r="H9" t="n">
        <v>-30</v>
      </c>
      <c r="I9" t="n">
        <v>21</v>
      </c>
      <c r="J9" t="n">
        <v>98</v>
      </c>
    </row>
    <row r="10">
      <c r="A10" t="inlineStr">
        <is>
          <t>Fast Moving Consumer Goods</t>
        </is>
      </c>
      <c r="B10" t="n">
        <v>9475</v>
      </c>
      <c r="C10" t="n">
        <v>-15776</v>
      </c>
      <c r="D10" t="n">
        <v>-17925</v>
      </c>
      <c r="E10" t="n">
        <v>-253</v>
      </c>
      <c r="F10" t="n">
        <v>-3741</v>
      </c>
      <c r="G10" t="n">
        <v>-14867</v>
      </c>
      <c r="H10" t="n">
        <v>-14867</v>
      </c>
      <c r="I10" t="n">
        <v>-12303</v>
      </c>
      <c r="J10" t="n">
        <v>-5545</v>
      </c>
    </row>
    <row r="11">
      <c r="A11" t="inlineStr">
        <is>
          <t>Financial Services</t>
        </is>
      </c>
      <c r="B11" t="n">
        <v>7544</v>
      </c>
      <c r="C11" t="n">
        <v>-20548</v>
      </c>
      <c r="D11" t="n">
        <v>-17666</v>
      </c>
      <c r="E11" t="n">
        <v>31383</v>
      </c>
      <c r="F11" t="n">
        <v>-28196</v>
      </c>
      <c r="G11" t="n">
        <v>-424</v>
      </c>
      <c r="H11" t="n">
        <v>-60829</v>
      </c>
      <c r="I11" t="n">
        <v>-50626</v>
      </c>
      <c r="J11" t="n">
        <v>-3347</v>
      </c>
    </row>
    <row r="12">
      <c r="A12" t="inlineStr">
        <is>
          <t>Forest Materials</t>
        </is>
      </c>
      <c r="B12" t="n">
        <v>106</v>
      </c>
      <c r="C12" t="n">
        <v>64</v>
      </c>
      <c r="D12" t="n">
        <v>-114</v>
      </c>
      <c r="E12" t="n">
        <v>-67</v>
      </c>
      <c r="F12" t="n">
        <v>-33</v>
      </c>
      <c r="G12" t="n">
        <v>9</v>
      </c>
      <c r="H12" t="n">
        <v>23</v>
      </c>
      <c r="I12" t="n">
        <v>-10</v>
      </c>
      <c r="J12" t="n">
        <v>26</v>
      </c>
    </row>
    <row r="13">
      <c r="A13" t="inlineStr">
        <is>
          <t>Healthcare</t>
        </is>
      </c>
      <c r="B13" t="n">
        <v>17524</v>
      </c>
      <c r="C13" t="n">
        <v>4192</v>
      </c>
      <c r="D13" t="n">
        <v>-5745</v>
      </c>
      <c r="E13" t="n">
        <v>-3745</v>
      </c>
      <c r="F13" t="n">
        <v>-7596</v>
      </c>
      <c r="G13" t="n">
        <v>-7881</v>
      </c>
      <c r="H13" t="n">
        <v>-11129</v>
      </c>
      <c r="I13" t="n">
        <v>-9809</v>
      </c>
      <c r="J13" t="n">
        <v>15803</v>
      </c>
    </row>
    <row r="14">
      <c r="A14" t="inlineStr">
        <is>
          <t>Information Technology</t>
        </is>
      </c>
      <c r="B14" t="n">
        <v>14580</v>
      </c>
      <c r="C14" t="n">
        <v>11667</v>
      </c>
      <c r="D14" t="n">
        <v>-14117</v>
      </c>
      <c r="E14" t="n">
        <v>-16483</v>
      </c>
      <c r="F14" t="n">
        <v>-37236</v>
      </c>
      <c r="G14" t="n">
        <v>-6862</v>
      </c>
      <c r="H14" t="n">
        <v>-20658</v>
      </c>
      <c r="I14" t="n">
        <v>-13589</v>
      </c>
      <c r="J14" t="n">
        <v>6463</v>
      </c>
    </row>
    <row r="15">
      <c r="A15" t="inlineStr">
        <is>
          <t>Media, Entertainment &amp; Publication</t>
        </is>
      </c>
      <c r="B15" t="n">
        <v>394</v>
      </c>
      <c r="C15" t="n">
        <v>109</v>
      </c>
      <c r="D15" t="n">
        <v>648</v>
      </c>
      <c r="E15" t="n">
        <v>283</v>
      </c>
      <c r="F15" t="n">
        <v>45</v>
      </c>
      <c r="G15" t="n">
        <v>-675</v>
      </c>
      <c r="H15" t="n">
        <v>-123</v>
      </c>
      <c r="I15" t="n">
        <v>-689</v>
      </c>
      <c r="J15" t="n">
        <v>-261</v>
      </c>
    </row>
    <row r="16">
      <c r="A16" t="inlineStr">
        <is>
          <t>Metals &amp; Mining</t>
        </is>
      </c>
      <c r="B16" t="n">
        <v>4692</v>
      </c>
      <c r="C16" t="n">
        <v>-87</v>
      </c>
      <c r="D16" t="n">
        <v>-1645</v>
      </c>
      <c r="E16" t="n">
        <v>-3690</v>
      </c>
      <c r="F16" t="n">
        <v>4545</v>
      </c>
      <c r="G16" t="n">
        <v>5451</v>
      </c>
      <c r="H16" t="n">
        <v>13999</v>
      </c>
      <c r="I16" t="n">
        <v>-1178</v>
      </c>
      <c r="J16" t="n">
        <v>3741</v>
      </c>
    </row>
    <row r="17">
      <c r="A17" t="inlineStr">
        <is>
          <t>Oil, Gas &amp; Consumable Fuels</t>
        </is>
      </c>
      <c r="B17" t="n">
        <v>2186</v>
      </c>
      <c r="C17" t="n">
        <v>-45616</v>
      </c>
      <c r="D17" t="n">
        <v>-8368</v>
      </c>
      <c r="E17" t="n">
        <v>8299</v>
      </c>
      <c r="F17" t="n">
        <v>-10154</v>
      </c>
      <c r="G17" t="n">
        <v>18654</v>
      </c>
      <c r="H17" t="n">
        <v>312</v>
      </c>
      <c r="I17" t="n">
        <v>-28958</v>
      </c>
      <c r="J17" t="n">
        <v>-8870</v>
      </c>
    </row>
    <row r="18">
      <c r="A18" t="inlineStr">
        <is>
          <t>Power</t>
        </is>
      </c>
      <c r="B18" t="n">
        <v>-3523</v>
      </c>
      <c r="C18" t="n">
        <v>-4169</v>
      </c>
      <c r="D18" t="n">
        <v>-7524</v>
      </c>
      <c r="E18" t="n">
        <v>-7898</v>
      </c>
      <c r="F18" t="n">
        <v>-6697</v>
      </c>
      <c r="G18" t="n">
        <v>-4403</v>
      </c>
      <c r="H18" t="n">
        <v>2409</v>
      </c>
      <c r="I18" t="n">
        <v>-1444</v>
      </c>
      <c r="J18" t="n">
        <v>-6639</v>
      </c>
    </row>
    <row r="19">
      <c r="A19" t="inlineStr">
        <is>
          <t>Realty</t>
        </is>
      </c>
      <c r="B19" t="n">
        <v>4437</v>
      </c>
      <c r="C19" t="n">
        <v>5449</v>
      </c>
      <c r="D19" t="n">
        <v>-1606</v>
      </c>
      <c r="E19" t="n">
        <v>-1036</v>
      </c>
      <c r="F19" t="n">
        <v>-7437</v>
      </c>
      <c r="G19" t="n">
        <v>-2556</v>
      </c>
      <c r="H19" t="n">
        <v>-6614</v>
      </c>
      <c r="I19" t="n">
        <v>-1723</v>
      </c>
      <c r="J19" t="n">
        <v>456</v>
      </c>
    </row>
    <row r="20">
      <c r="A20" t="inlineStr">
        <is>
          <t>Services</t>
        </is>
      </c>
      <c r="B20" t="n">
        <v>2414</v>
      </c>
      <c r="C20" t="n">
        <v>-2861</v>
      </c>
      <c r="D20" t="n">
        <v>-832</v>
      </c>
      <c r="E20" t="n">
        <v>8126</v>
      </c>
      <c r="F20" t="n">
        <v>4822</v>
      </c>
      <c r="G20" t="n">
        <v>-5045</v>
      </c>
      <c r="H20" t="n">
        <v>-3055</v>
      </c>
      <c r="I20" t="n">
        <v>9145</v>
      </c>
      <c r="J20" t="n">
        <v>6489</v>
      </c>
    </row>
    <row r="21">
      <c r="A21" t="inlineStr">
        <is>
          <t>Sovereign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Telecommunication</t>
        </is>
      </c>
      <c r="B22" t="n">
        <v>7134</v>
      </c>
      <c r="C22" t="n">
        <v>-7404</v>
      </c>
      <c r="D22" t="n">
        <v>11215</v>
      </c>
      <c r="E22" t="n">
        <v>15470</v>
      </c>
      <c r="F22" t="n">
        <v>4817</v>
      </c>
      <c r="G22" t="n">
        <v>16720</v>
      </c>
      <c r="H22" t="n">
        <v>-12261</v>
      </c>
      <c r="I22" t="n">
        <v>-5162</v>
      </c>
      <c r="J22" t="n">
        <v>-14122</v>
      </c>
    </row>
    <row r="23">
      <c r="A23" t="inlineStr">
        <is>
          <t>Textiles</t>
        </is>
      </c>
      <c r="B23" t="n">
        <v>451</v>
      </c>
      <c r="C23" t="n">
        <v>1264</v>
      </c>
      <c r="D23" t="n">
        <v>559</v>
      </c>
      <c r="E23" t="n">
        <v>-29</v>
      </c>
      <c r="F23" t="n">
        <v>-532</v>
      </c>
      <c r="G23" t="n">
        <v>-1222</v>
      </c>
      <c r="H23" t="n">
        <v>-694</v>
      </c>
      <c r="I23" t="n">
        <v>-76</v>
      </c>
      <c r="J23" t="n">
        <v>807</v>
      </c>
    </row>
    <row r="24">
      <c r="A24" t="inlineStr">
        <is>
          <t>Utilities</t>
        </is>
      </c>
      <c r="B24" t="n">
        <v>379</v>
      </c>
      <c r="C24" t="n">
        <v>500</v>
      </c>
      <c r="D24" t="n">
        <v>-103</v>
      </c>
      <c r="E24" t="n">
        <v>0</v>
      </c>
      <c r="F24" t="n">
        <v>-62</v>
      </c>
      <c r="G24" t="n">
        <v>20</v>
      </c>
      <c r="H24" t="n">
        <v>-119</v>
      </c>
      <c r="I24" t="n">
        <v>168</v>
      </c>
      <c r="J24" t="n">
        <v>86</v>
      </c>
    </row>
    <row r="25">
      <c r="A25" t="inlineStr">
        <is>
          <t>Others</t>
        </is>
      </c>
      <c r="B25" t="n">
        <v>7765</v>
      </c>
      <c r="C25" t="n">
        <v>11625</v>
      </c>
      <c r="D25" t="n">
        <v>4693</v>
      </c>
      <c r="E25" t="n">
        <v>3089</v>
      </c>
      <c r="F25" t="n">
        <v>8597</v>
      </c>
      <c r="G25" t="n">
        <v>4299</v>
      </c>
      <c r="H25" t="n">
        <v>3236</v>
      </c>
      <c r="I25" t="n">
        <v>1997</v>
      </c>
      <c r="J25" t="n">
        <v>398</v>
      </c>
    </row>
    <row r="26">
      <c r="A26" s="42" t="inlineStr">
        <is>
          <t>TOTAL</t>
        </is>
      </c>
      <c r="B26" s="42">
        <f>SUM(B2:B25)</f>
        <v/>
      </c>
      <c r="C26" s="42">
        <f>SUM(C2:C25)</f>
        <v/>
      </c>
      <c r="D26" s="42">
        <f>SUM(D2:D25)</f>
        <v/>
      </c>
      <c r="E26" s="42">
        <f>SUM(E2:E25)</f>
        <v/>
      </c>
      <c r="F26" s="42">
        <f>SUM(F2:F25)</f>
        <v/>
      </c>
      <c r="G26" s="42">
        <f>SUM(G2:G25)</f>
        <v/>
      </c>
      <c r="H26" s="42">
        <f>SUM(H2:H25)</f>
        <v/>
      </c>
      <c r="I26" s="42">
        <f>SUM(I2:I25)</f>
        <v/>
      </c>
      <c r="J26" s="42">
        <f>SUM(J2:J25)</f>
        <v/>
      </c>
    </row>
  </sheetData>
  <conditionalFormatting sqref="B2:J25">
    <cfRule type="colorScale" priority="1">
      <colorScale>
        <cfvo type="num" val="-8000"/>
        <cfvo type="num" val="0"/>
        <cfvo type="num" val="8000"/>
        <color rgb="00C00000"/>
        <color rgb="00FFFFFF"/>
        <color rgb="002E7D32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style="30" min="1" max="1"/>
    <col width="14" customWidth="1" style="30" min="2" max="2"/>
    <col width="14" customWidth="1" style="30" min="3" max="3"/>
    <col width="14" customWidth="1" style="30" min="4" max="4"/>
  </cols>
  <sheetData>
    <row r="1">
      <c r="A1" s="40" t="inlineStr">
        <is>
          <t>Sector</t>
        </is>
      </c>
      <c r="B1" s="41" t="inlineStr">
        <is>
          <t>FY 24-25</t>
        </is>
      </c>
      <c r="C1" s="41" t="inlineStr">
        <is>
          <t>FY 25-26</t>
        </is>
      </c>
      <c r="D1" s="41" t="inlineStr">
        <is>
          <t>FY 26-27</t>
        </is>
      </c>
    </row>
    <row r="2">
      <c r="A2" t="inlineStr">
        <is>
          <t>Automobile and Auto Components</t>
        </is>
      </c>
      <c r="B2" t="n">
        <v>-37788</v>
      </c>
      <c r="C2" t="n">
        <v>-11748</v>
      </c>
      <c r="D2" t="n">
        <v>-26049</v>
      </c>
    </row>
    <row r="3">
      <c r="A3" t="inlineStr">
        <is>
          <t>Capital Goods</t>
        </is>
      </c>
      <c r="B3" t="n">
        <v>-1821</v>
      </c>
      <c r="C3" t="n">
        <v>25923</v>
      </c>
      <c r="D3" t="n">
        <v>-4020</v>
      </c>
    </row>
    <row r="4">
      <c r="A4" t="inlineStr">
        <is>
          <t>Chemicals</t>
        </is>
      </c>
      <c r="B4" t="n">
        <v>3382</v>
      </c>
      <c r="C4" t="n">
        <v>4898</v>
      </c>
      <c r="D4" t="n">
        <v>-913</v>
      </c>
    </row>
    <row r="5">
      <c r="A5" t="inlineStr">
        <is>
          <t>Construction</t>
        </is>
      </c>
      <c r="B5" t="n">
        <v>-8907</v>
      </c>
      <c r="C5" t="n">
        <v>-6200</v>
      </c>
      <c r="D5" t="n">
        <v>2746</v>
      </c>
    </row>
    <row r="6">
      <c r="A6" t="inlineStr">
        <is>
          <t>Construction Materials</t>
        </is>
      </c>
      <c r="B6" t="n">
        <v>-15399</v>
      </c>
      <c r="C6" t="n">
        <v>-5480</v>
      </c>
      <c r="D6" t="n">
        <v>-4614</v>
      </c>
    </row>
    <row r="7">
      <c r="A7" t="inlineStr">
        <is>
          <t>Consumer Durables</t>
        </is>
      </c>
      <c r="B7" t="n">
        <v>-3117</v>
      </c>
      <c r="C7" t="n">
        <v>-18469</v>
      </c>
      <c r="D7" t="n">
        <v>9901</v>
      </c>
    </row>
    <row r="8">
      <c r="A8" t="inlineStr">
        <is>
          <t>Consumer Services</t>
        </is>
      </c>
      <c r="B8" t="n">
        <v>-15416</v>
      </c>
      <c r="C8" t="n">
        <v>-14088</v>
      </c>
      <c r="D8" t="n">
        <v>12415</v>
      </c>
    </row>
    <row r="9">
      <c r="A9" t="inlineStr">
        <is>
          <t>Diversified</t>
        </is>
      </c>
      <c r="B9" t="n">
        <v>-232</v>
      </c>
      <c r="C9" t="n">
        <v>-1111</v>
      </c>
      <c r="D9" t="n">
        <v>119</v>
      </c>
    </row>
    <row r="10">
      <c r="A10" t="inlineStr">
        <is>
          <t>Fast Moving Consumer Goods</t>
        </is>
      </c>
      <c r="B10" t="n">
        <v>-24226</v>
      </c>
      <c r="C10" t="n">
        <v>-33728</v>
      </c>
      <c r="D10" t="n">
        <v>-17848</v>
      </c>
    </row>
    <row r="11">
      <c r="A11" t="inlineStr">
        <is>
          <t>Financial Services</t>
        </is>
      </c>
      <c r="B11" t="n">
        <v>-30670</v>
      </c>
      <c r="C11" t="n">
        <v>-58066</v>
      </c>
      <c r="D11" t="n">
        <v>-53973</v>
      </c>
    </row>
    <row r="12">
      <c r="A12" t="inlineStr">
        <is>
          <t>Forest Materials</t>
        </is>
      </c>
      <c r="B12" t="n">
        <v>56</v>
      </c>
      <c r="C12" t="n">
        <v>-68</v>
      </c>
      <c r="D12" t="n">
        <v>16</v>
      </c>
    </row>
    <row r="13">
      <c r="A13" t="inlineStr">
        <is>
          <t>Healthcare</t>
        </is>
      </c>
      <c r="B13" t="n">
        <v>15971</v>
      </c>
      <c r="C13" t="n">
        <v>-30351</v>
      </c>
      <c r="D13" t="n">
        <v>5994</v>
      </c>
    </row>
    <row r="14">
      <c r="A14" t="inlineStr">
        <is>
          <t>Information Technology</t>
        </is>
      </c>
      <c r="B14" t="n">
        <v>12130</v>
      </c>
      <c r="C14" t="n">
        <v>-81239</v>
      </c>
      <c r="D14" t="n">
        <v>-7126</v>
      </c>
    </row>
    <row r="15">
      <c r="A15" t="inlineStr">
        <is>
          <t>Media, Entertainment &amp; Publication</t>
        </is>
      </c>
      <c r="B15" t="n">
        <v>1151</v>
      </c>
      <c r="C15" t="n">
        <v>-470</v>
      </c>
      <c r="D15" t="n">
        <v>-950</v>
      </c>
    </row>
    <row r="16">
      <c r="A16" t="inlineStr">
        <is>
          <t>Metals &amp; Mining</t>
        </is>
      </c>
      <c r="B16" t="n">
        <v>2960</v>
      </c>
      <c r="C16" t="n">
        <v>20305</v>
      </c>
      <c r="D16" t="n">
        <v>2563</v>
      </c>
    </row>
    <row r="17">
      <c r="A17" t="inlineStr">
        <is>
          <t>Oil, Gas &amp; Consumable Fuels</t>
        </is>
      </c>
      <c r="B17" t="n">
        <v>-51798</v>
      </c>
      <c r="C17" t="n">
        <v>17111</v>
      </c>
      <c r="D17" t="n">
        <v>-37828</v>
      </c>
    </row>
    <row r="18">
      <c r="A18" t="inlineStr">
        <is>
          <t>Power</t>
        </is>
      </c>
      <c r="B18" t="n">
        <v>-15216</v>
      </c>
      <c r="C18" t="n">
        <v>-16589</v>
      </c>
      <c r="D18" t="n">
        <v>-8083</v>
      </c>
    </row>
    <row r="19">
      <c r="A19" t="inlineStr">
        <is>
          <t>Realty</t>
        </is>
      </c>
      <c r="B19" t="n">
        <v>8280</v>
      </c>
      <c r="C19" t="n">
        <v>-17643</v>
      </c>
      <c r="D19" t="n">
        <v>-1267</v>
      </c>
    </row>
    <row r="20">
      <c r="A20" t="inlineStr">
        <is>
          <t>Services</t>
        </is>
      </c>
      <c r="B20" t="n">
        <v>-1279</v>
      </c>
      <c r="C20" t="n">
        <v>4848</v>
      </c>
      <c r="D20" t="n">
        <v>15634</v>
      </c>
    </row>
    <row r="21">
      <c r="A21" t="inlineStr">
        <is>
          <t>Sovereign</t>
        </is>
      </c>
      <c r="B21" t="n">
        <v>0</v>
      </c>
      <c r="C21" t="n">
        <v>0</v>
      </c>
      <c r="D21" t="n">
        <v>0</v>
      </c>
    </row>
    <row r="22">
      <c r="A22" t="inlineStr">
        <is>
          <t>Telecommunication</t>
        </is>
      </c>
      <c r="B22" t="n">
        <v>10945</v>
      </c>
      <c r="C22" t="n">
        <v>24746</v>
      </c>
      <c r="D22" t="n">
        <v>-19284</v>
      </c>
    </row>
    <row r="23">
      <c r="A23" t="inlineStr">
        <is>
          <t>Textiles</t>
        </is>
      </c>
      <c r="B23" t="n">
        <v>2274</v>
      </c>
      <c r="C23" t="n">
        <v>-2477</v>
      </c>
      <c r="D23" t="n">
        <v>731</v>
      </c>
    </row>
    <row r="24">
      <c r="A24" t="inlineStr">
        <is>
          <t>Utilities</t>
        </is>
      </c>
      <c r="B24" t="n">
        <v>776</v>
      </c>
      <c r="C24" t="n">
        <v>-161</v>
      </c>
      <c r="D24" t="n">
        <v>254</v>
      </c>
    </row>
    <row r="25">
      <c r="A25" t="inlineStr">
        <is>
          <t>Others</t>
        </is>
      </c>
      <c r="B25" t="n">
        <v>24083</v>
      </c>
      <c r="C25" t="n">
        <v>19221</v>
      </c>
      <c r="D25" t="n">
        <v>2395</v>
      </c>
    </row>
    <row r="26">
      <c r="A26" s="42" t="inlineStr">
        <is>
          <t>TOTAL</t>
        </is>
      </c>
      <c r="B26" s="42">
        <f>SUM(B2:B25)</f>
        <v/>
      </c>
      <c r="C26" s="42">
        <f>SUM(C2:C25)</f>
        <v/>
      </c>
      <c r="D26" s="42">
        <f>SUM(D2:D25)</f>
        <v/>
      </c>
    </row>
  </sheetData>
  <conditionalFormatting sqref="B2:D25">
    <cfRule type="colorScale" priority="1">
      <colorScale>
        <cfvo type="num" val="-8000"/>
        <cfvo type="num" val="0"/>
        <cfvo type="num" val="8000"/>
        <color rgb="00C00000"/>
        <color rgb="00FFFFFF"/>
        <color rgb="002E7D3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Ankit Gupta</dc:creator>
  <dcterms:created xmlns:dcterms="http://purl.org/dc/terms/" xmlns:xsi="http://www.w3.org/2001/XMLSchema-instance" xsi:type="dcterms:W3CDTF">2025-12-13T17:03:38Z</dcterms:created>
  <dcterms:modified xmlns:dcterms="http://purl.org/dc/terms/" xmlns:xsi="http://www.w3.org/2001/XMLSchema-instance" xsi:type="dcterms:W3CDTF">2026-10-20T17:39:28Z</dcterms:modified>
  <cp:lastModifiedBy>Ankit Gupta</cp:lastModifiedBy>
</cp:coreProperties>
</file>