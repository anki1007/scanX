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Wide'!$BA$11</f>
            </numRef>
          </val>
        </ser>
        <ser>
          <idx val="52"/>
          <order val="52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Wide'!$BB$11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Wide'!$BA$14</f>
            </numRef>
          </val>
        </ser>
        <ser>
          <idx val="105"/>
          <order val="105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Wide'!$BA$17</f>
            </numRef>
          </val>
        </ser>
        <ser>
          <idx val="158"/>
          <order val="158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Wide'!$BA$2</f>
            </numRef>
          </val>
        </ser>
        <ser>
          <idx val="211"/>
          <order val="211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Wide'!$AV$10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Wide'!$AX$10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Wide'!$AY$10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Wide'!$AZ$10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Wide'!$BA$10</f>
            </numRef>
          </val>
        </ser>
        <ser>
          <idx val="264"/>
          <order val="26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Wide'!$BB$10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Wide'!$BA$8</f>
            </numRef>
          </val>
        </ser>
        <ser>
          <idx val="317"/>
          <order val="317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Wide'!$AT$22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Wide'!$AV$22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Wide'!$AW$22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Wide'!$AX$22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Wide'!$AY$22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Wide'!$AZ$22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Wide'!$BA$22</f>
            </numRef>
          </val>
        </ser>
        <ser>
          <idx val="370"/>
          <order val="370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Wide'!$BB$22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Wide'!$AS$13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Wide'!$AT$13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Wide'!$AU$13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Wide'!$AV$13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Wide'!$AW$13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Wide'!$AX$13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Wide'!$AY$13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Wide'!$AZ$13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Wide'!$BA$13</f>
            </numRef>
          </val>
        </ser>
        <ser>
          <idx val="423"/>
          <order val="423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'Monthly'!$AA$26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C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55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I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42" t="inlineStr">
        <is>
          <t>Net Investment
Sep 01-15, 2026</t>
        </is>
      </c>
      <c r="BC1" s="8" t="inlineStr">
        <is>
          <t>Sector Trend</t>
        </is>
      </c>
      <c r="BD1" s="11" t="inlineStr">
        <is>
          <t>30 Days
Flow</t>
        </is>
      </c>
      <c r="BE1" s="11" t="inlineStr">
        <is>
          <t>45 Days
Flow</t>
        </is>
      </c>
      <c r="BF1" s="11" t="inlineStr">
        <is>
          <t>60 Days
Flow</t>
        </is>
      </c>
      <c r="BG1" s="11" t="inlineStr">
        <is>
          <t>75 Days
Flow</t>
        </is>
      </c>
      <c r="BH1" s="11" t="inlineStr">
        <is>
          <t>90 Days
Flow</t>
        </is>
      </c>
      <c r="BI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/>
      <c r="BD2" s="38">
        <f>SUM(Table22[[#This Row],[Net Investment
April 16-30, 2026]:[Net Investment
May 01-15, 2026]])</f>
        <v/>
      </c>
      <c r="BE2" s="38">
        <f>SUM(Table22[[#This Row],[Net Investment
April 01-15, 2026]:[Net Investment
May 01-15, 2026]])</f>
        <v/>
      </c>
      <c r="BF2" s="38">
        <f>SUM(Table22[[#This Row],[Net Investment
March 16-31, 2026]:[Net Investment
May 01-15, 2026]])</f>
        <v/>
      </c>
      <c r="BG2" s="38">
        <f>SUM(Table22[[#This Row],[Net Investment
March 01-15, 2026]:[Net Investment
May 01-15, 2026]])</f>
        <v/>
      </c>
      <c r="BH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D3" s="38">
        <f>SUM(Table22[[#This Row],[Net Investment
April 16-30, 2026]:[Net Investment
May 01-15, 2026]])</f>
        <v/>
      </c>
      <c r="BE3" s="38">
        <f>SUM(Table22[[#This Row],[Net Investment
April 01-15, 2026]:[Net Investment
May 01-15, 2026]])</f>
        <v/>
      </c>
      <c r="BF3" s="38">
        <f>SUM(Table22[[#This Row],[Net Investment
March 16-31, 2026]:[Net Investment
May 01-15, 2026]])</f>
        <v/>
      </c>
      <c r="BG3" s="38">
        <f>SUM(Table22[[#This Row],[Net Investment
March 01-15, 2026]:[Net Investment
May 01-15, 2026]])</f>
        <v/>
      </c>
      <c r="BH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D4" s="38">
        <f>SUM(Table22[[#This Row],[Net Investment
April 16-30, 2026]:[Net Investment
May 01-15, 2026]])</f>
        <v/>
      </c>
      <c r="BE4" s="38">
        <f>SUM(Table22[[#This Row],[Net Investment
April 01-15, 2026]:[Net Investment
May 01-15, 2026]])</f>
        <v/>
      </c>
      <c r="BF4" s="38">
        <f>SUM(Table22[[#This Row],[Net Investment
March 16-31, 2026]:[Net Investment
May 01-15, 2026]])</f>
        <v/>
      </c>
      <c r="BG4" s="38">
        <f>SUM(Table22[[#This Row],[Net Investment
March 01-15, 2026]:[Net Investment
May 01-15, 2026]])</f>
        <v/>
      </c>
      <c r="BH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D5" s="38">
        <f>SUM(Table22[[#This Row],[Net Investment
April 16-30, 2026]:[Net Investment
May 01-15, 2026]])</f>
        <v/>
      </c>
      <c r="BE5" s="38">
        <f>SUM(Table22[[#This Row],[Net Investment
April 01-15, 2026]:[Net Investment
May 01-15, 2026]])</f>
        <v/>
      </c>
      <c r="BF5" s="38">
        <f>SUM(Table22[[#This Row],[Net Investment
March 16-31, 2026]:[Net Investment
May 01-15, 2026]])</f>
        <v/>
      </c>
      <c r="BG5" s="38">
        <f>SUM(Table22[[#This Row],[Net Investment
March 01-15, 2026]:[Net Investment
May 01-15, 2026]])</f>
        <v/>
      </c>
      <c r="BH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D6" s="38">
        <f>SUM(Table22[[#This Row],[Net Investment
April 16-30, 2026]:[Net Investment
May 01-15, 2026]])</f>
        <v/>
      </c>
      <c r="BE6" s="38">
        <f>SUM(Table22[[#This Row],[Net Investment
April 01-15, 2026]:[Net Investment
May 01-15, 2026]])</f>
        <v/>
      </c>
      <c r="BF6" s="38">
        <f>SUM(Table22[[#This Row],[Net Investment
March 16-31, 2026]:[Net Investment
May 01-15, 2026]])</f>
        <v/>
      </c>
      <c r="BG6" s="38">
        <f>SUM(Table22[[#This Row],[Net Investment
March 01-15, 2026]:[Net Investment
May 01-15, 2026]])</f>
        <v/>
      </c>
      <c r="BH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D7" s="38">
        <f>SUM(Table22[[#This Row],[Net Investment
April 16-30, 2026]:[Net Investment
May 01-15, 2026]])</f>
        <v/>
      </c>
      <c r="BE7" s="38">
        <f>SUM(Table22[[#This Row],[Net Investment
April 01-15, 2026]:[Net Investment
May 01-15, 2026]])</f>
        <v/>
      </c>
      <c r="BF7" s="38">
        <f>SUM(Table22[[#This Row],[Net Investment
March 16-31, 2026]:[Net Investment
May 01-15, 2026]])</f>
        <v/>
      </c>
      <c r="BG7" s="38">
        <f>SUM(Table22[[#This Row],[Net Investment
March 01-15, 2026]:[Net Investment
May 01-15, 2026]])</f>
        <v/>
      </c>
      <c r="BH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D8" s="38">
        <f>SUM(Table22[[#This Row],[Net Investment
April 16-30, 2026]:[Net Investment
May 01-15, 2026]])</f>
        <v/>
      </c>
      <c r="BE8" s="38">
        <f>SUM(Table22[[#This Row],[Net Investment
April 01-15, 2026]:[Net Investment
May 01-15, 2026]])</f>
        <v/>
      </c>
      <c r="BF8" s="38">
        <f>SUM(Table22[[#This Row],[Net Investment
March 16-31, 2026]:[Net Investment
May 01-15, 2026]])</f>
        <v/>
      </c>
      <c r="BG8" s="38">
        <f>SUM(Table22[[#This Row],[Net Investment
March 01-15, 2026]:[Net Investment
May 01-15, 2026]])</f>
        <v/>
      </c>
      <c r="BH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D9" s="38">
        <f>SUM(Table22[[#This Row],[Net Investment
April 16-30, 2026]:[Net Investment
May 01-15, 2026]])</f>
        <v/>
      </c>
      <c r="BE9" s="38">
        <f>SUM(Table22[[#This Row],[Net Investment
April 01-15, 2026]:[Net Investment
May 01-15, 2026]])</f>
        <v/>
      </c>
      <c r="BF9" s="38">
        <f>SUM(Table22[[#This Row],[Net Investment
March 16-31, 2026]:[Net Investment
May 01-15, 2026]])</f>
        <v/>
      </c>
      <c r="BG9" s="38">
        <f>SUM(Table22[[#This Row],[Net Investment
March 01-15, 2026]:[Net Investment
May 01-15, 2026]])</f>
        <v/>
      </c>
      <c r="BH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D10" s="38">
        <f>SUM(Table22[[#This Row],[Net Investment
April 16-30, 2026]:[Net Investment
May 01-15, 2026]])</f>
        <v/>
      </c>
      <c r="BE10" s="38">
        <f>SUM(Table22[[#This Row],[Net Investment
April 01-15, 2026]:[Net Investment
May 01-15, 2026]])</f>
        <v/>
      </c>
      <c r="BF10" s="38">
        <f>SUM(Table22[[#This Row],[Net Investment
March 16-31, 2026]:[Net Investment
May 01-15, 2026]])</f>
        <v/>
      </c>
      <c r="BG10" s="38">
        <f>SUM(Table22[[#This Row],[Net Investment
March 01-15, 2026]:[Net Investment
May 01-15, 2026]])</f>
        <v/>
      </c>
      <c r="BH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D11" s="38">
        <f>SUM(Table22[[#This Row],[Net Investment
April 16-30, 2026]:[Net Investment
May 01-15, 2026]])</f>
        <v/>
      </c>
      <c r="BE11" s="38">
        <f>SUM(Table22[[#This Row],[Net Investment
April 01-15, 2026]:[Net Investment
May 01-15, 2026]])</f>
        <v/>
      </c>
      <c r="BF11" s="38">
        <f>SUM(Table22[[#This Row],[Net Investment
March 16-31, 2026]:[Net Investment
May 01-15, 2026]])</f>
        <v/>
      </c>
      <c r="BG11" s="38">
        <f>SUM(Table22[[#This Row],[Net Investment
March 01-15, 2026]:[Net Investment
May 01-15, 2026]])</f>
        <v/>
      </c>
      <c r="BH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D12" s="38">
        <f>SUM(Table22[[#This Row],[Net Investment
April 16-30, 2026]:[Net Investment
May 01-15, 2026]])</f>
        <v/>
      </c>
      <c r="BE12" s="38">
        <f>SUM(Table22[[#This Row],[Net Investment
April 01-15, 2026]:[Net Investment
May 01-15, 2026]])</f>
        <v/>
      </c>
      <c r="BF12" s="38">
        <f>SUM(Table22[[#This Row],[Net Investment
March 16-31, 2026]:[Net Investment
May 01-15, 2026]])</f>
        <v/>
      </c>
      <c r="BG12" s="38">
        <f>SUM(Table22[[#This Row],[Net Investment
March 01-15, 2026]:[Net Investment
May 01-15, 2026]])</f>
        <v/>
      </c>
      <c r="BH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D13" s="38">
        <f>SUM(Table22[[#This Row],[Net Investment
April 16-30, 2026]:[Net Investment
May 01-15, 2026]])</f>
        <v/>
      </c>
      <c r="BE13" s="38">
        <f>SUM(Table22[[#This Row],[Net Investment
April 01-15, 2026]:[Net Investment
May 01-15, 2026]])</f>
        <v/>
      </c>
      <c r="BF13" s="38">
        <f>SUM(Table22[[#This Row],[Net Investment
March 16-31, 2026]:[Net Investment
May 01-15, 2026]])</f>
        <v/>
      </c>
      <c r="BG13" s="38">
        <f>SUM(Table22[[#This Row],[Net Investment
March 01-15, 2026]:[Net Investment
May 01-15, 2026]])</f>
        <v/>
      </c>
      <c r="BH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D14" s="38">
        <f>SUM(Table22[[#This Row],[Net Investment
April 16-30, 2026]:[Net Investment
May 01-15, 2026]])</f>
        <v/>
      </c>
      <c r="BE14" s="38">
        <f>SUM(Table22[[#This Row],[Net Investment
April 01-15, 2026]:[Net Investment
May 01-15, 2026]])</f>
        <v/>
      </c>
      <c r="BF14" s="38">
        <f>SUM(Table22[[#This Row],[Net Investment
March 16-31, 2026]:[Net Investment
May 01-15, 2026]])</f>
        <v/>
      </c>
      <c r="BG14" s="38">
        <f>SUM(Table22[[#This Row],[Net Investment
March 01-15, 2026]:[Net Investment
May 01-15, 2026]])</f>
        <v/>
      </c>
      <c r="BH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D15" s="38">
        <f>SUM(Table22[[#This Row],[Net Investment
April 16-30, 2026]:[Net Investment
May 01-15, 2026]])</f>
        <v/>
      </c>
      <c r="BE15" s="38">
        <f>SUM(Table22[[#This Row],[Net Investment
April 01-15, 2026]:[Net Investment
May 01-15, 2026]])</f>
        <v/>
      </c>
      <c r="BF15" s="38">
        <f>SUM(Table22[[#This Row],[Net Investment
March 16-31, 2026]:[Net Investment
May 01-15, 2026]])</f>
        <v/>
      </c>
      <c r="BG15" s="38">
        <f>SUM(Table22[[#This Row],[Net Investment
March 01-15, 2026]:[Net Investment
May 01-15, 2026]])</f>
        <v/>
      </c>
      <c r="BH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D16" s="38">
        <f>SUM(Table22[[#This Row],[Net Investment
April 16-30, 2026]:[Net Investment
May 01-15, 2026]])</f>
        <v/>
      </c>
      <c r="BE16" s="38">
        <f>SUM(Table22[[#This Row],[Net Investment
April 01-15, 2026]:[Net Investment
May 01-15, 2026]])</f>
        <v/>
      </c>
      <c r="BF16" s="38">
        <f>SUM(Table22[[#This Row],[Net Investment
March 16-31, 2026]:[Net Investment
May 01-15, 2026]])</f>
        <v/>
      </c>
      <c r="BG16" s="38">
        <f>SUM(Table22[[#This Row],[Net Investment
March 01-15, 2026]:[Net Investment
May 01-15, 2026]])</f>
        <v/>
      </c>
      <c r="BH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D17" s="38">
        <f>SUM(Table22[[#This Row],[Net Investment
April 16-30, 2026]:[Net Investment
May 01-15, 2026]])</f>
        <v/>
      </c>
      <c r="BE17" s="38">
        <f>SUM(Table22[[#This Row],[Net Investment
April 01-15, 2026]:[Net Investment
May 01-15, 2026]])</f>
        <v/>
      </c>
      <c r="BF17" s="38">
        <f>SUM(Table22[[#This Row],[Net Investment
March 16-31, 2026]:[Net Investment
May 01-15, 2026]])</f>
        <v/>
      </c>
      <c r="BG17" s="38">
        <f>SUM(Table22[[#This Row],[Net Investment
March 01-15, 2026]:[Net Investment
May 01-15, 2026]])</f>
        <v/>
      </c>
      <c r="BH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D18" s="38">
        <f>SUM(Table22[[#This Row],[Net Investment
April 16-30, 2026]:[Net Investment
May 01-15, 2026]])</f>
        <v/>
      </c>
      <c r="BE18" s="38">
        <f>SUM(Table22[[#This Row],[Net Investment
April 01-15, 2026]:[Net Investment
May 01-15, 2026]])</f>
        <v/>
      </c>
      <c r="BF18" s="38">
        <f>SUM(Table22[[#This Row],[Net Investment
March 16-31, 2026]:[Net Investment
May 01-15, 2026]])</f>
        <v/>
      </c>
      <c r="BG18" s="38">
        <f>SUM(Table22[[#This Row],[Net Investment
March 01-15, 2026]:[Net Investment
May 01-15, 2026]])</f>
        <v/>
      </c>
      <c r="BH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D19" s="38">
        <f>SUM(Table22[[#This Row],[Net Investment
April 16-30, 2026]:[Net Investment
May 01-15, 2026]])</f>
        <v/>
      </c>
      <c r="BE19" s="38">
        <f>SUM(Table22[[#This Row],[Net Investment
April 01-15, 2026]:[Net Investment
May 01-15, 2026]])</f>
        <v/>
      </c>
      <c r="BF19" s="38">
        <f>SUM(Table22[[#This Row],[Net Investment
March 16-31, 2026]:[Net Investment
May 01-15, 2026]])</f>
        <v/>
      </c>
      <c r="BG19" s="38">
        <f>SUM(Table22[[#This Row],[Net Investment
March 01-15, 2026]:[Net Investment
May 01-15, 2026]])</f>
        <v/>
      </c>
      <c r="BH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D20" s="38">
        <f>SUM(Table22[[#This Row],[Net Investment
April 16-30, 2026]:[Net Investment
May 01-15, 2026]])</f>
        <v/>
      </c>
      <c r="BE20" s="38">
        <f>SUM(Table22[[#This Row],[Net Investment
April 01-15, 2026]:[Net Investment
May 01-15, 2026]])</f>
        <v/>
      </c>
      <c r="BF20" s="38">
        <f>SUM(Table22[[#This Row],[Net Investment
March 16-31, 2026]:[Net Investment
May 01-15, 2026]])</f>
        <v/>
      </c>
      <c r="BG20" s="38">
        <f>SUM(Table22[[#This Row],[Net Investment
March 01-15, 2026]:[Net Investment
May 01-15, 2026]])</f>
        <v/>
      </c>
      <c r="BH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B21" t="n">
        <v>-991</v>
      </c>
      <c r="BD21" s="38">
        <f>SUM(Table22[[#This Row],[Net Investment
April 16-30, 2026]:[Net Investment
May 01-15, 2026]])</f>
        <v/>
      </c>
      <c r="BE21" s="38">
        <f>SUM(Table22[[#This Row],[Net Investment
April 01-15, 2026]:[Net Investment
May 01-15, 2026]])</f>
        <v/>
      </c>
      <c r="BF21" s="38">
        <f>SUM(Table22[[#This Row],[Net Investment
March 16-31, 2026]:[Net Investment
May 01-15, 2026]])</f>
        <v/>
      </c>
      <c r="BG21" s="38">
        <f>SUM(Table22[[#This Row],[Net Investment
March 01-15, 2026]:[Net Investment
May 01-15, 2026]])</f>
        <v/>
      </c>
      <c r="BH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B22" t="n">
        <v>10</v>
      </c>
      <c r="BD22" s="38">
        <f>SUM(Table22[[#This Row],[Net Investment
April 16-30, 2026]:[Net Investment
May 01-15, 2026]])</f>
        <v/>
      </c>
      <c r="BE22" s="38">
        <f>SUM(Table22[[#This Row],[Net Investment
April 01-15, 2026]:[Net Investment
May 01-15, 2026]])</f>
        <v/>
      </c>
      <c r="BF22" s="38">
        <f>SUM(Table22[[#This Row],[Net Investment
March 16-31, 2026]:[Net Investment
May 01-15, 2026]])</f>
        <v/>
      </c>
      <c r="BG22" s="38">
        <f>SUM(Table22[[#This Row],[Net Investment
March 01-15, 2026]:[Net Investment
May 01-15, 2026]])</f>
        <v/>
      </c>
      <c r="BH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B23" t="n">
        <v>194</v>
      </c>
      <c r="BD23" s="38">
        <f>SUM(Table22[[#This Row],[Net Investment
April 16-30, 2026]:[Net Investment
May 01-15, 2026]])</f>
        <v/>
      </c>
      <c r="BE23" s="38">
        <f>SUM(Table22[[#This Row],[Net Investment
April 01-15, 2026]:[Net Investment
May 01-15, 2026]])</f>
        <v/>
      </c>
      <c r="BF23" s="38">
        <f>SUM(Table22[[#This Row],[Net Investment
March 16-31, 2026]:[Net Investment
May 01-15, 2026]])</f>
        <v/>
      </c>
      <c r="BG23" s="38">
        <f>SUM(Table22[[#This Row],[Net Investment
March 01-15, 2026]:[Net Investment
May 01-15, 2026]])</f>
        <v/>
      </c>
      <c r="BH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D24" s="38">
        <f>SUM(Table22[[#This Row],[Net Investment
April 16-30, 2026]:[Net Investment
May 01-15, 2026]])</f>
        <v/>
      </c>
      <c r="BE24" s="38">
        <f>SUM(Table22[[#This Row],[Net Investment
April 01-15, 2026]:[Net Investment
May 01-15, 2026]])</f>
        <v/>
      </c>
      <c r="BF24" s="38">
        <f>SUM(Table22[[#This Row],[Net Investment
March 16-31, 2026]:[Net Investment
May 01-15, 2026]])</f>
        <v/>
      </c>
      <c r="BG24" s="38">
        <f>SUM(Table22[[#This Row],[Net Investment
March 01-15, 2026]:[Net Investment
May 01-15, 2026]])</f>
        <v/>
      </c>
      <c r="BH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D25" s="38">
        <f>SUM(Table22[[#This Row],[Net Investment
April 16-30, 2026]:[Net Investment
May 01-15, 2026]])</f>
        <v/>
      </c>
      <c r="BE25" s="38">
        <f>SUM(Table22[[#This Row],[Net Investment
April 01-15, 2026]:[Net Investment
May 01-15, 2026]])</f>
        <v/>
      </c>
      <c r="BF25" s="38">
        <f>SUM(Table22[[#This Row],[Net Investment
March 16-31, 2026]:[Net Investment
May 01-15, 2026]])</f>
        <v/>
      </c>
      <c r="BG25" s="38">
        <f>SUM(Table22[[#This Row],[Net Investment
March 01-15, 2026]:[Net Investment
May 01-15, 2026]])</f>
        <v/>
      </c>
      <c r="BH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D26" s="38">
        <f>SUM(Table22[[#This Row],[Net Investment
April 16-30, 2026]:[Net Investment
May 01-15, 2026]])</f>
        <v/>
      </c>
      <c r="BE26" s="38">
        <f>SUM(Table22[[#This Row],[Net Investment
April 01-15, 2026]:[Net Investment
May 01-15, 2026]])</f>
        <v/>
      </c>
      <c r="BF26" s="38">
        <f>SUM(Table22[[#This Row],[Net Investment
March 16-31, 2026]:[Net Investment
May 01-15, 2026]])</f>
        <v/>
      </c>
      <c r="BG26" s="38">
        <f>SUM(Table22[[#This Row],[Net Investment
March 01-15, 2026]:[Net Investment
May 01-15, 2026]])</f>
        <v/>
      </c>
      <c r="BH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7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  <row r="1247">
      <c r="A1247" s="43" t="n">
        <v>46280</v>
      </c>
      <c r="B1247" t="inlineStr">
        <is>
          <t>Sep 01-15, 2026</t>
        </is>
      </c>
      <c r="C1247" t="inlineStr">
        <is>
          <t>Automobile and Auto Components</t>
        </is>
      </c>
      <c r="D1247" t="n">
        <v>-2670</v>
      </c>
      <c r="E1247" t="n">
        <v>-782</v>
      </c>
      <c r="F1247" t="n">
        <v>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-3452</v>
      </c>
    </row>
    <row r="1248">
      <c r="A1248" s="43" t="n">
        <v>46280</v>
      </c>
      <c r="B1248" t="inlineStr">
        <is>
          <t>Sep 01-15, 2026</t>
        </is>
      </c>
      <c r="C1248" t="inlineStr">
        <is>
          <t>Capital Goods</t>
        </is>
      </c>
      <c r="D1248" t="n">
        <v>-108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-108</v>
      </c>
    </row>
    <row r="1249">
      <c r="A1249" s="43" t="n">
        <v>46280</v>
      </c>
      <c r="B1249" t="inlineStr">
        <is>
          <t>Sep 01-15, 2026</t>
        </is>
      </c>
      <c r="C1249" t="inlineStr">
        <is>
          <t>Chemicals</t>
        </is>
      </c>
      <c r="D1249" t="n">
        <v>228</v>
      </c>
      <c r="E1249" t="n">
        <v>0</v>
      </c>
      <c r="F1249" t="n">
        <v>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228</v>
      </c>
    </row>
    <row r="1250">
      <c r="A1250" s="43" t="n">
        <v>46280</v>
      </c>
      <c r="B1250" t="inlineStr">
        <is>
          <t>Sep 01-15, 2026</t>
        </is>
      </c>
      <c r="C1250" t="inlineStr">
        <is>
          <t>Construction</t>
        </is>
      </c>
      <c r="D1250" t="n">
        <v>930</v>
      </c>
      <c r="E1250" t="n">
        <v>0</v>
      </c>
      <c r="F1250" t="n">
        <v>0</v>
      </c>
      <c r="G1250" t="n">
        <v>0</v>
      </c>
      <c r="H1250" t="n">
        <v>-1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929</v>
      </c>
    </row>
    <row r="1251">
      <c r="A1251" s="43" t="n">
        <v>46280</v>
      </c>
      <c r="B1251" t="inlineStr">
        <is>
          <t>Sep 01-15, 2026</t>
        </is>
      </c>
      <c r="C1251" t="inlineStr">
        <is>
          <t>Construction Materials</t>
        </is>
      </c>
      <c r="D1251" t="n">
        <v>-358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-358</v>
      </c>
    </row>
    <row r="1252">
      <c r="A1252" s="43" t="n">
        <v>46280</v>
      </c>
      <c r="B1252" t="inlineStr">
        <is>
          <t>Sep 01-15, 2026</t>
        </is>
      </c>
      <c r="C1252" t="inlineStr">
        <is>
          <t>Consumer Durables</t>
        </is>
      </c>
      <c r="D1252" t="n">
        <v>-397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-397</v>
      </c>
    </row>
    <row r="1253">
      <c r="A1253" s="43" t="n">
        <v>46280</v>
      </c>
      <c r="B1253" t="inlineStr">
        <is>
          <t>Sep 01-15, 2026</t>
        </is>
      </c>
      <c r="C1253" t="inlineStr">
        <is>
          <t>Consumer Services</t>
        </is>
      </c>
      <c r="D1253" t="n">
        <v>422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422</v>
      </c>
    </row>
    <row r="1254">
      <c r="A1254" s="43" t="n">
        <v>46280</v>
      </c>
      <c r="B1254" t="inlineStr">
        <is>
          <t>Sep 01-15, 2026</t>
        </is>
      </c>
      <c r="C1254" t="inlineStr">
        <is>
          <t>Diversified</t>
        </is>
      </c>
      <c r="D1254" t="n">
        <v>-23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-23</v>
      </c>
    </row>
    <row r="1255">
      <c r="A1255" s="43" t="n">
        <v>46280</v>
      </c>
      <c r="B1255" t="inlineStr">
        <is>
          <t>Sep 01-15, 2026</t>
        </is>
      </c>
      <c r="C1255" t="inlineStr">
        <is>
          <t>Fast Moving Consumer Goods</t>
        </is>
      </c>
      <c r="D1255" t="n">
        <v>-2029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-2029</v>
      </c>
    </row>
    <row r="1256">
      <c r="A1256" s="43" t="n">
        <v>46280</v>
      </c>
      <c r="B1256" t="inlineStr">
        <is>
          <t>Sep 01-15, 2026</t>
        </is>
      </c>
      <c r="C1256" t="inlineStr">
        <is>
          <t>Financial Services</t>
        </is>
      </c>
      <c r="D1256" t="n">
        <v>-6204</v>
      </c>
      <c r="E1256" t="n">
        <v>-130</v>
      </c>
      <c r="F1256" t="n">
        <v>-472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-2</v>
      </c>
      <c r="N1256" t="n">
        <v>0</v>
      </c>
      <c r="O1256" t="n">
        <v>-6808</v>
      </c>
    </row>
    <row r="1257">
      <c r="A1257" s="43" t="n">
        <v>46280</v>
      </c>
      <c r="B1257" t="inlineStr">
        <is>
          <t>Sep 01-15, 2026</t>
        </is>
      </c>
      <c r="C1257" t="inlineStr">
        <is>
          <t>Forest Materials</t>
        </is>
      </c>
      <c r="D1257" t="n">
        <v>7</v>
      </c>
      <c r="E1257" t="n">
        <v>0</v>
      </c>
      <c r="F1257" t="n">
        <v>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7</v>
      </c>
    </row>
    <row r="1258">
      <c r="A1258" s="43" t="n">
        <v>46280</v>
      </c>
      <c r="B1258" t="inlineStr">
        <is>
          <t>Sep 01-15, 2026</t>
        </is>
      </c>
      <c r="C1258" t="inlineStr">
        <is>
          <t>Healthcare</t>
        </is>
      </c>
      <c r="D1258" t="n">
        <v>2114</v>
      </c>
      <c r="E1258" t="n">
        <v>0</v>
      </c>
      <c r="F1258" t="n">
        <v>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2114</v>
      </c>
    </row>
    <row r="1259">
      <c r="A1259" s="43" t="n">
        <v>46280</v>
      </c>
      <c r="B1259" t="inlineStr">
        <is>
          <t>Sep 01-15, 2026</t>
        </is>
      </c>
      <c r="C1259" t="inlineStr">
        <is>
          <t>Information Technology</t>
        </is>
      </c>
      <c r="D1259" t="n">
        <v>-960</v>
      </c>
      <c r="E1259" t="n">
        <v>0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-960</v>
      </c>
    </row>
    <row r="1260">
      <c r="A1260" s="43" t="n">
        <v>46280</v>
      </c>
      <c r="B1260" t="inlineStr">
        <is>
          <t>Sep 01-15, 2026</t>
        </is>
      </c>
      <c r="C1260" t="inlineStr">
        <is>
          <t>Media, Entertainment &amp; Publication</t>
        </is>
      </c>
      <c r="D1260" t="n">
        <v>-93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-93</v>
      </c>
    </row>
    <row r="1261">
      <c r="A1261" s="43" t="n">
        <v>46280</v>
      </c>
      <c r="B1261" t="inlineStr">
        <is>
          <t>Sep 01-15, 2026</t>
        </is>
      </c>
      <c r="C1261" t="inlineStr">
        <is>
          <t>Metals &amp; Mining</t>
        </is>
      </c>
      <c r="D1261" t="n">
        <v>-681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-681</v>
      </c>
    </row>
    <row r="1262">
      <c r="A1262" s="43" t="n">
        <v>46280</v>
      </c>
      <c r="B1262" t="inlineStr">
        <is>
          <t>Sep 01-15, 2026</t>
        </is>
      </c>
      <c r="C1262" t="inlineStr">
        <is>
          <t>Oil, Gas &amp; Consumable Fuels</t>
        </is>
      </c>
      <c r="D1262" t="n">
        <v>-2385</v>
      </c>
      <c r="E1262" t="n">
        <v>0</v>
      </c>
      <c r="F1262" t="n">
        <v>0</v>
      </c>
      <c r="G1262" t="n">
        <v>0</v>
      </c>
      <c r="H1262" t="n">
        <v>-3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-2388</v>
      </c>
    </row>
    <row r="1263">
      <c r="A1263" s="43" t="n">
        <v>46280</v>
      </c>
      <c r="B1263" t="inlineStr">
        <is>
          <t>Sep 01-15, 2026</t>
        </is>
      </c>
      <c r="C1263" t="inlineStr">
        <is>
          <t>Others</t>
        </is>
      </c>
      <c r="D1263" t="n">
        <v>388</v>
      </c>
      <c r="E1263" t="n">
        <v>-1243</v>
      </c>
      <c r="F1263" t="n">
        <v>-70</v>
      </c>
      <c r="G1263" t="n">
        <v>0</v>
      </c>
      <c r="H1263" t="n">
        <v>0</v>
      </c>
      <c r="I1263" t="n">
        <v>49</v>
      </c>
      <c r="J1263" t="n">
        <v>107</v>
      </c>
      <c r="K1263" t="n">
        <v>-3</v>
      </c>
      <c r="L1263" t="n">
        <v>0</v>
      </c>
      <c r="M1263" t="n">
        <v>-37</v>
      </c>
      <c r="N1263" t="n">
        <v>0</v>
      </c>
      <c r="O1263" t="n">
        <v>-809</v>
      </c>
    </row>
    <row r="1264">
      <c r="A1264" s="43" t="n">
        <v>46280</v>
      </c>
      <c r="B1264" t="inlineStr">
        <is>
          <t>Sep 01-15, 2026</t>
        </is>
      </c>
      <c r="C1264" t="inlineStr">
        <is>
          <t>Power</t>
        </is>
      </c>
      <c r="D1264" t="n">
        <v>-1653</v>
      </c>
      <c r="E1264" t="n">
        <v>0</v>
      </c>
      <c r="F1264" t="n">
        <v>0</v>
      </c>
      <c r="G1264" t="n">
        <v>0</v>
      </c>
      <c r="H1264" t="n">
        <v>-19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-1672</v>
      </c>
    </row>
    <row r="1265">
      <c r="A1265" s="43" t="n">
        <v>46280</v>
      </c>
      <c r="B1265" t="inlineStr">
        <is>
          <t>Sep 01-15, 2026</t>
        </is>
      </c>
      <c r="C1265" t="inlineStr">
        <is>
          <t>Realty</t>
        </is>
      </c>
      <c r="D1265" t="n">
        <v>-762</v>
      </c>
      <c r="E1265" t="n">
        <v>-1</v>
      </c>
      <c r="F1265" t="n">
        <v>0</v>
      </c>
      <c r="G1265" t="n">
        <v>0</v>
      </c>
      <c r="H1265" t="n">
        <v>1094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331</v>
      </c>
    </row>
    <row r="1266">
      <c r="A1266" s="43" t="n">
        <v>46280</v>
      </c>
      <c r="B1266" t="inlineStr">
        <is>
          <t>Sep 01-15, 2026</t>
        </is>
      </c>
      <c r="C1266" t="inlineStr">
        <is>
          <t>Services</t>
        </is>
      </c>
      <c r="D1266" t="n">
        <v>905</v>
      </c>
      <c r="E1266" t="n">
        <v>480</v>
      </c>
      <c r="F1266" t="n">
        <v>0</v>
      </c>
      <c r="G1266" t="n">
        <v>0</v>
      </c>
      <c r="H1266" t="n">
        <v>-11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1374</v>
      </c>
    </row>
    <row r="1267">
      <c r="A1267" s="43" t="n">
        <v>46280</v>
      </c>
      <c r="B1267" t="inlineStr">
        <is>
          <t>Sep 01-15, 2026</t>
        </is>
      </c>
      <c r="C1267" t="inlineStr">
        <is>
          <t>Sovereign</t>
        </is>
      </c>
      <c r="D1267" t="n">
        <v>0</v>
      </c>
      <c r="E1267" t="n">
        <v>639</v>
      </c>
      <c r="F1267" t="n">
        <v>0</v>
      </c>
      <c r="G1267" t="n">
        <v>-6084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-5445</v>
      </c>
    </row>
    <row r="1268">
      <c r="A1268" s="43" t="n">
        <v>46280</v>
      </c>
      <c r="B1268" t="inlineStr">
        <is>
          <t>Sep 01-15, 2026</t>
        </is>
      </c>
      <c r="C1268" t="inlineStr">
        <is>
          <t>Telecommunication</t>
        </is>
      </c>
      <c r="D1268" t="n">
        <v>-991</v>
      </c>
      <c r="E1268" t="n">
        <v>0</v>
      </c>
      <c r="F1268" t="n">
        <v>0</v>
      </c>
      <c r="G1268" t="n">
        <v>0</v>
      </c>
      <c r="H1268" t="n">
        <v>-3483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-4474</v>
      </c>
    </row>
    <row r="1269">
      <c r="A1269" s="43" t="n">
        <v>46280</v>
      </c>
      <c r="B1269" t="inlineStr">
        <is>
          <t>Sep 01-15, 2026</t>
        </is>
      </c>
      <c r="C1269" t="inlineStr">
        <is>
          <t>Textiles</t>
        </is>
      </c>
      <c r="D1269" t="n">
        <v>10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10</v>
      </c>
    </row>
    <row r="1270">
      <c r="A1270" s="43" t="n">
        <v>46280</v>
      </c>
      <c r="B1270" t="inlineStr">
        <is>
          <t>Sep 01-15, 2026</t>
        </is>
      </c>
      <c r="C1270" t="inlineStr">
        <is>
          <t>Utilities</t>
        </is>
      </c>
      <c r="D1270" t="n">
        <v>194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194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B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  <col width="14" customWidth="1" style="30" min="54" max="54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  <c r="BB1" s="41" t="inlineStr">
        <is>
          <t>2026-09-15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  <c r="BB22" t="n">
        <v>-991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  <c r="BB23" t="n">
        <v>10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  <c r="BB24" t="n">
        <v>194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  <c r="BB26" s="42">
        <f>SUM(BB2:BB25)</f>
        <v/>
      </c>
    </row>
  </sheetData>
  <conditionalFormatting sqref="B2:BB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  <c r="AB1" s="41" t="inlineStr">
        <is>
          <t>Sep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  <c r="AB2" t="n">
        <v>-2670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  <c r="AB3" t="n">
        <v>-108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  <c r="AB4" t="n">
        <v>228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  <c r="AB5" t="n">
        <v>930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  <c r="AB6" t="n">
        <v>-358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  <c r="AB7" t="n">
        <v>-397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  <c r="AB8" t="n">
        <v>422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  <c r="AB9" t="n">
        <v>-23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  <c r="AB10" t="n">
        <v>-2029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  <c r="AB11" t="n">
        <v>-6204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  <c r="AB12" t="n">
        <v>7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  <c r="AB13" t="n">
        <v>2114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  <c r="AB14" t="n">
        <v>-960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  <c r="AB15" t="n">
        <v>-93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  <c r="AB16" t="n">
        <v>-681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  <c r="AB17" t="n">
        <v>-2385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  <c r="AB18" t="n">
        <v>-1653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  <c r="AB19" t="n">
        <v>-762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  <c r="AB20" t="n">
        <v>905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  <c r="AB22" t="n">
        <v>-991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  <c r="AB23" t="n">
        <v>10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  <c r="AB24" t="n">
        <v>194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  <c r="AB25" t="n">
        <v>388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</row>
  </sheetData>
  <conditionalFormatting sqref="B2:AB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-4128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-5777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1504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-231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2221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10848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19040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-17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-4573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3596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15800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6501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-292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6063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-4401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-6069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437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5092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-11699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171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119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1489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-22507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-2667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-780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2365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-3767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11409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10504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4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-16876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-47030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10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5991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-7088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-981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4885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-33359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-7513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-1286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14237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-16861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95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287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3486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2026-10-01T18:30:17Z</dcterms:modified>
  <cp:lastModifiedBy>Ankit Gupta</cp:lastModifiedBy>
</cp:coreProperties>
</file>