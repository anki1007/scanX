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Wide'!$AU$11</f>
            </numRef>
          </val>
        </ser>
        <ser>
          <idx val="46"/>
          <order val="46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Wide'!$AU$14</f>
            </numRef>
          </val>
        </ser>
        <ser>
          <idx val="93"/>
          <order val="93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Wide'!$B$17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Wide'!$C$17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Wide'!$AU$17</f>
            </numRef>
          </val>
        </ser>
        <ser>
          <idx val="140"/>
          <order val="140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Wide'!$B$10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Wide'!$C$10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Wide'!$D$10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Wide'!$AU$10</f>
            </numRef>
          </val>
        </ser>
        <ser>
          <idx val="187"/>
          <order val="187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</f>
            </numRef>
          </val>
        </ser>
        <ser>
          <idx val="234"/>
          <order val="234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Wide'!$B$22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Wide'!$C$22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Wide'!$D$22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Wide'!$E$22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Wide'!$F$22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Wide'!$AU$22</f>
            </numRef>
          </val>
        </ser>
        <ser>
          <idx val="281"/>
          <order val="281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Wide'!$AU$8</f>
            </numRef>
          </val>
        </ser>
        <ser>
          <idx val="328"/>
          <order val="328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Wide'!$B$3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Wide'!$C$3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Wide'!$D$3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Wide'!$E$3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Wide'!$F$3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Wide'!$G$3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Wide'!$H$3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Wide'!$I$3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Wide'!$J$3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Wide'!$K$3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Wide'!$L$3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Wide'!$M$3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Wide'!$N$3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Wide'!$O$3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Wide'!$P$3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Wide'!$Q$3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Wide'!$R$3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Wide'!$S$3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Wide'!$T$3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Wide'!$U$3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Wide'!$V$3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Wide'!$W$3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Wide'!$X$3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Wide'!$Y$3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Wide'!$Z$3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Wide'!$AA$3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Wide'!$AB$3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Wide'!$AC$3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Wide'!$AD$3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Wide'!$AE$3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Wide'!$AF$3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Wide'!$AG$3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Wide'!$AH$3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Wide'!$AI$3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Wide'!$AJ$3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Wide'!$AK$3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Wide'!$AL$3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Wide'!$AM$3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Wide'!$AN$3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Wide'!$AO$3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Wide'!$AP$3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Wide'!$AQ$3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Wide'!$AR$3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Wide'!$AS$3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Wide'!$AT$3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Wide'!$AU$3</f>
            </numRef>
          </val>
        </ser>
        <ser>
          <idx val="375"/>
          <order val="375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Wide'!$B$1:$AV$1</f>
            </numRef>
          </cat>
          <val>
            <numRef>
              <f>'Sectors Wide'!$AV$3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W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49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C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8" t="inlineStr">
        <is>
          <t>Sector Trend</t>
        </is>
      </c>
      <c r="AX1" s="11" t="inlineStr">
        <is>
          <t>30 Days
Flow</t>
        </is>
      </c>
      <c r="AY1" s="11" t="inlineStr">
        <is>
          <t>45 Days
Flow</t>
        </is>
      </c>
      <c r="AZ1" s="11" t="inlineStr">
        <is>
          <t>60 Days
Flow</t>
        </is>
      </c>
      <c r="BA1" s="11" t="inlineStr">
        <is>
          <t>75 Days
Flow</t>
        </is>
      </c>
      <c r="BB1" s="11" t="inlineStr">
        <is>
          <t>90 Days
Flow</t>
        </is>
      </c>
      <c r="BC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/>
      <c r="AX2" s="38">
        <f>SUM(Table22[[#This Row],[Net Investment
April 16-30, 2026]:[Net Investment
May 01-15, 2026]])</f>
        <v/>
      </c>
      <c r="AY2" s="38">
        <f>SUM(Table22[[#This Row],[Net Investment
April 01-15, 2026]:[Net Investment
May 01-15, 2026]])</f>
        <v/>
      </c>
      <c r="AZ2" s="38">
        <f>SUM(Table22[[#This Row],[Net Investment
March 16-31, 2026]:[Net Investment
May 01-15, 2026]])</f>
        <v/>
      </c>
      <c r="BA2" s="38">
        <f>SUM(Table22[[#This Row],[Net Investment
March 01-15, 2026]:[Net Investment
May 01-15, 2026]])</f>
        <v/>
      </c>
      <c r="BB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X3" s="38">
        <f>SUM(Table22[[#This Row],[Net Investment
April 16-30, 2026]:[Net Investment
May 01-15, 2026]])</f>
        <v/>
      </c>
      <c r="AY3" s="38">
        <f>SUM(Table22[[#This Row],[Net Investment
April 01-15, 2026]:[Net Investment
May 01-15, 2026]])</f>
        <v/>
      </c>
      <c r="AZ3" s="38">
        <f>SUM(Table22[[#This Row],[Net Investment
March 16-31, 2026]:[Net Investment
May 01-15, 2026]])</f>
        <v/>
      </c>
      <c r="BA3" s="38">
        <f>SUM(Table22[[#This Row],[Net Investment
March 01-15, 2026]:[Net Investment
May 01-15, 2026]])</f>
        <v/>
      </c>
      <c r="BB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X4" s="38">
        <f>SUM(Table22[[#This Row],[Net Investment
April 16-30, 2026]:[Net Investment
May 01-15, 2026]])</f>
        <v/>
      </c>
      <c r="AY4" s="38">
        <f>SUM(Table22[[#This Row],[Net Investment
April 01-15, 2026]:[Net Investment
May 01-15, 2026]])</f>
        <v/>
      </c>
      <c r="AZ4" s="38">
        <f>SUM(Table22[[#This Row],[Net Investment
March 16-31, 2026]:[Net Investment
May 01-15, 2026]])</f>
        <v/>
      </c>
      <c r="BA4" s="38">
        <f>SUM(Table22[[#This Row],[Net Investment
March 01-15, 2026]:[Net Investment
May 01-15, 2026]])</f>
        <v/>
      </c>
      <c r="BB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X5" s="38">
        <f>SUM(Table22[[#This Row],[Net Investment
April 16-30, 2026]:[Net Investment
May 01-15, 2026]])</f>
        <v/>
      </c>
      <c r="AY5" s="38">
        <f>SUM(Table22[[#This Row],[Net Investment
April 01-15, 2026]:[Net Investment
May 01-15, 2026]])</f>
        <v/>
      </c>
      <c r="AZ5" s="38">
        <f>SUM(Table22[[#This Row],[Net Investment
March 16-31, 2026]:[Net Investment
May 01-15, 2026]])</f>
        <v/>
      </c>
      <c r="BA5" s="38">
        <f>SUM(Table22[[#This Row],[Net Investment
March 01-15, 2026]:[Net Investment
May 01-15, 2026]])</f>
        <v/>
      </c>
      <c r="BB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X6" s="38">
        <f>SUM(Table22[[#This Row],[Net Investment
April 16-30, 2026]:[Net Investment
May 01-15, 2026]])</f>
        <v/>
      </c>
      <c r="AY6" s="38">
        <f>SUM(Table22[[#This Row],[Net Investment
April 01-15, 2026]:[Net Investment
May 01-15, 2026]])</f>
        <v/>
      </c>
      <c r="AZ6" s="38">
        <f>SUM(Table22[[#This Row],[Net Investment
March 16-31, 2026]:[Net Investment
May 01-15, 2026]])</f>
        <v/>
      </c>
      <c r="BA6" s="38">
        <f>SUM(Table22[[#This Row],[Net Investment
March 01-15, 2026]:[Net Investment
May 01-15, 2026]])</f>
        <v/>
      </c>
      <c r="BB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X7" s="38">
        <f>SUM(Table22[[#This Row],[Net Investment
April 16-30, 2026]:[Net Investment
May 01-15, 2026]])</f>
        <v/>
      </c>
      <c r="AY7" s="38">
        <f>SUM(Table22[[#This Row],[Net Investment
April 01-15, 2026]:[Net Investment
May 01-15, 2026]])</f>
        <v/>
      </c>
      <c r="AZ7" s="38">
        <f>SUM(Table22[[#This Row],[Net Investment
March 16-31, 2026]:[Net Investment
May 01-15, 2026]])</f>
        <v/>
      </c>
      <c r="BA7" s="38">
        <f>SUM(Table22[[#This Row],[Net Investment
March 01-15, 2026]:[Net Investment
May 01-15, 2026]])</f>
        <v/>
      </c>
      <c r="BB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X8" s="38">
        <f>SUM(Table22[[#This Row],[Net Investment
April 16-30, 2026]:[Net Investment
May 01-15, 2026]])</f>
        <v/>
      </c>
      <c r="AY8" s="38">
        <f>SUM(Table22[[#This Row],[Net Investment
April 01-15, 2026]:[Net Investment
May 01-15, 2026]])</f>
        <v/>
      </c>
      <c r="AZ8" s="38">
        <f>SUM(Table22[[#This Row],[Net Investment
March 16-31, 2026]:[Net Investment
May 01-15, 2026]])</f>
        <v/>
      </c>
      <c r="BA8" s="38">
        <f>SUM(Table22[[#This Row],[Net Investment
March 01-15, 2026]:[Net Investment
May 01-15, 2026]])</f>
        <v/>
      </c>
      <c r="BB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X9" s="38">
        <f>SUM(Table22[[#This Row],[Net Investment
April 16-30, 2026]:[Net Investment
May 01-15, 2026]])</f>
        <v/>
      </c>
      <c r="AY9" s="38">
        <f>SUM(Table22[[#This Row],[Net Investment
April 01-15, 2026]:[Net Investment
May 01-15, 2026]])</f>
        <v/>
      </c>
      <c r="AZ9" s="38">
        <f>SUM(Table22[[#This Row],[Net Investment
March 16-31, 2026]:[Net Investment
May 01-15, 2026]])</f>
        <v/>
      </c>
      <c r="BA9" s="38">
        <f>SUM(Table22[[#This Row],[Net Investment
March 01-15, 2026]:[Net Investment
May 01-15, 2026]])</f>
        <v/>
      </c>
      <c r="BB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X10" s="38">
        <f>SUM(Table22[[#This Row],[Net Investment
April 16-30, 2026]:[Net Investment
May 01-15, 2026]])</f>
        <v/>
      </c>
      <c r="AY10" s="38">
        <f>SUM(Table22[[#This Row],[Net Investment
April 01-15, 2026]:[Net Investment
May 01-15, 2026]])</f>
        <v/>
      </c>
      <c r="AZ10" s="38">
        <f>SUM(Table22[[#This Row],[Net Investment
March 16-31, 2026]:[Net Investment
May 01-15, 2026]])</f>
        <v/>
      </c>
      <c r="BA10" s="38">
        <f>SUM(Table22[[#This Row],[Net Investment
March 01-15, 2026]:[Net Investment
May 01-15, 2026]])</f>
        <v/>
      </c>
      <c r="BB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X11" s="38">
        <f>SUM(Table22[[#This Row],[Net Investment
April 16-30, 2026]:[Net Investment
May 01-15, 2026]])</f>
        <v/>
      </c>
      <c r="AY11" s="38">
        <f>SUM(Table22[[#This Row],[Net Investment
April 01-15, 2026]:[Net Investment
May 01-15, 2026]])</f>
        <v/>
      </c>
      <c r="AZ11" s="38">
        <f>SUM(Table22[[#This Row],[Net Investment
March 16-31, 2026]:[Net Investment
May 01-15, 2026]])</f>
        <v/>
      </c>
      <c r="BA11" s="38">
        <f>SUM(Table22[[#This Row],[Net Investment
March 01-15, 2026]:[Net Investment
May 01-15, 2026]])</f>
        <v/>
      </c>
      <c r="BB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X12" s="38">
        <f>SUM(Table22[[#This Row],[Net Investment
April 16-30, 2026]:[Net Investment
May 01-15, 2026]])</f>
        <v/>
      </c>
      <c r="AY12" s="38">
        <f>SUM(Table22[[#This Row],[Net Investment
April 01-15, 2026]:[Net Investment
May 01-15, 2026]])</f>
        <v/>
      </c>
      <c r="AZ12" s="38">
        <f>SUM(Table22[[#This Row],[Net Investment
March 16-31, 2026]:[Net Investment
May 01-15, 2026]])</f>
        <v/>
      </c>
      <c r="BA12" s="38">
        <f>SUM(Table22[[#This Row],[Net Investment
March 01-15, 2026]:[Net Investment
May 01-15, 2026]])</f>
        <v/>
      </c>
      <c r="BB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X13" s="38">
        <f>SUM(Table22[[#This Row],[Net Investment
April 16-30, 2026]:[Net Investment
May 01-15, 2026]])</f>
        <v/>
      </c>
      <c r="AY13" s="38">
        <f>SUM(Table22[[#This Row],[Net Investment
April 01-15, 2026]:[Net Investment
May 01-15, 2026]])</f>
        <v/>
      </c>
      <c r="AZ13" s="38">
        <f>SUM(Table22[[#This Row],[Net Investment
March 16-31, 2026]:[Net Investment
May 01-15, 2026]])</f>
        <v/>
      </c>
      <c r="BA13" s="38">
        <f>SUM(Table22[[#This Row],[Net Investment
March 01-15, 2026]:[Net Investment
May 01-15, 2026]])</f>
        <v/>
      </c>
      <c r="BB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X14" s="38">
        <f>SUM(Table22[[#This Row],[Net Investment
April 16-30, 2026]:[Net Investment
May 01-15, 2026]])</f>
        <v/>
      </c>
      <c r="AY14" s="38">
        <f>SUM(Table22[[#This Row],[Net Investment
April 01-15, 2026]:[Net Investment
May 01-15, 2026]])</f>
        <v/>
      </c>
      <c r="AZ14" s="38">
        <f>SUM(Table22[[#This Row],[Net Investment
March 16-31, 2026]:[Net Investment
May 01-15, 2026]])</f>
        <v/>
      </c>
      <c r="BA14" s="38">
        <f>SUM(Table22[[#This Row],[Net Investment
March 01-15, 2026]:[Net Investment
May 01-15, 2026]])</f>
        <v/>
      </c>
      <c r="BB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X15" s="38">
        <f>SUM(Table22[[#This Row],[Net Investment
April 16-30, 2026]:[Net Investment
May 01-15, 2026]])</f>
        <v/>
      </c>
      <c r="AY15" s="38">
        <f>SUM(Table22[[#This Row],[Net Investment
April 01-15, 2026]:[Net Investment
May 01-15, 2026]])</f>
        <v/>
      </c>
      <c r="AZ15" s="38">
        <f>SUM(Table22[[#This Row],[Net Investment
March 16-31, 2026]:[Net Investment
May 01-15, 2026]])</f>
        <v/>
      </c>
      <c r="BA15" s="38">
        <f>SUM(Table22[[#This Row],[Net Investment
March 01-15, 2026]:[Net Investment
May 01-15, 2026]])</f>
        <v/>
      </c>
      <c r="BB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X16" s="38">
        <f>SUM(Table22[[#This Row],[Net Investment
April 16-30, 2026]:[Net Investment
May 01-15, 2026]])</f>
        <v/>
      </c>
      <c r="AY16" s="38">
        <f>SUM(Table22[[#This Row],[Net Investment
April 01-15, 2026]:[Net Investment
May 01-15, 2026]])</f>
        <v/>
      </c>
      <c r="AZ16" s="38">
        <f>SUM(Table22[[#This Row],[Net Investment
March 16-31, 2026]:[Net Investment
May 01-15, 2026]])</f>
        <v/>
      </c>
      <c r="BA16" s="38">
        <f>SUM(Table22[[#This Row],[Net Investment
March 01-15, 2026]:[Net Investment
May 01-15, 2026]])</f>
        <v/>
      </c>
      <c r="BB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X17" s="38">
        <f>SUM(Table22[[#This Row],[Net Investment
April 16-30, 2026]:[Net Investment
May 01-15, 2026]])</f>
        <v/>
      </c>
      <c r="AY17" s="38">
        <f>SUM(Table22[[#This Row],[Net Investment
April 01-15, 2026]:[Net Investment
May 01-15, 2026]])</f>
        <v/>
      </c>
      <c r="AZ17" s="38">
        <f>SUM(Table22[[#This Row],[Net Investment
March 16-31, 2026]:[Net Investment
May 01-15, 2026]])</f>
        <v/>
      </c>
      <c r="BA17" s="38">
        <f>SUM(Table22[[#This Row],[Net Investment
March 01-15, 2026]:[Net Investment
May 01-15, 2026]])</f>
        <v/>
      </c>
      <c r="BB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X18" s="38">
        <f>SUM(Table22[[#This Row],[Net Investment
April 16-30, 2026]:[Net Investment
May 01-15, 2026]])</f>
        <v/>
      </c>
      <c r="AY18" s="38">
        <f>SUM(Table22[[#This Row],[Net Investment
April 01-15, 2026]:[Net Investment
May 01-15, 2026]])</f>
        <v/>
      </c>
      <c r="AZ18" s="38">
        <f>SUM(Table22[[#This Row],[Net Investment
March 16-31, 2026]:[Net Investment
May 01-15, 2026]])</f>
        <v/>
      </c>
      <c r="BA18" s="38">
        <f>SUM(Table22[[#This Row],[Net Investment
March 01-15, 2026]:[Net Investment
May 01-15, 2026]])</f>
        <v/>
      </c>
      <c r="BB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X19" s="38">
        <f>SUM(Table22[[#This Row],[Net Investment
April 16-30, 2026]:[Net Investment
May 01-15, 2026]])</f>
        <v/>
      </c>
      <c r="AY19" s="38">
        <f>SUM(Table22[[#This Row],[Net Investment
April 01-15, 2026]:[Net Investment
May 01-15, 2026]])</f>
        <v/>
      </c>
      <c r="AZ19" s="38">
        <f>SUM(Table22[[#This Row],[Net Investment
March 16-31, 2026]:[Net Investment
May 01-15, 2026]])</f>
        <v/>
      </c>
      <c r="BA19" s="38">
        <f>SUM(Table22[[#This Row],[Net Investment
March 01-15, 2026]:[Net Investment
May 01-15, 2026]])</f>
        <v/>
      </c>
      <c r="BB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X20" s="38">
        <f>SUM(Table22[[#This Row],[Net Investment
April 16-30, 2026]:[Net Investment
May 01-15, 2026]])</f>
        <v/>
      </c>
      <c r="AY20" s="38">
        <f>SUM(Table22[[#This Row],[Net Investment
April 01-15, 2026]:[Net Investment
May 01-15, 2026]])</f>
        <v/>
      </c>
      <c r="AZ20" s="38">
        <f>SUM(Table22[[#This Row],[Net Investment
March 16-31, 2026]:[Net Investment
May 01-15, 2026]])</f>
        <v/>
      </c>
      <c r="BA20" s="38">
        <f>SUM(Table22[[#This Row],[Net Investment
March 01-15, 2026]:[Net Investment
May 01-15, 2026]])</f>
        <v/>
      </c>
      <c r="BB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X21" s="38">
        <f>SUM(Table22[[#This Row],[Net Investment
April 16-30, 2026]:[Net Investment
May 01-15, 2026]])</f>
        <v/>
      </c>
      <c r="AY21" s="38">
        <f>SUM(Table22[[#This Row],[Net Investment
April 01-15, 2026]:[Net Investment
May 01-15, 2026]])</f>
        <v/>
      </c>
      <c r="AZ21" s="38">
        <f>SUM(Table22[[#This Row],[Net Investment
March 16-31, 2026]:[Net Investment
May 01-15, 2026]])</f>
        <v/>
      </c>
      <c r="BA21" s="38">
        <f>SUM(Table22[[#This Row],[Net Investment
March 01-15, 2026]:[Net Investment
May 01-15, 2026]])</f>
        <v/>
      </c>
      <c r="BB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X22" s="38">
        <f>SUM(Table22[[#This Row],[Net Investment
April 16-30, 2026]:[Net Investment
May 01-15, 2026]])</f>
        <v/>
      </c>
      <c r="AY22" s="38">
        <f>SUM(Table22[[#This Row],[Net Investment
April 01-15, 2026]:[Net Investment
May 01-15, 2026]])</f>
        <v/>
      </c>
      <c r="AZ22" s="38">
        <f>SUM(Table22[[#This Row],[Net Investment
March 16-31, 2026]:[Net Investment
May 01-15, 2026]])</f>
        <v/>
      </c>
      <c r="BA22" s="38">
        <f>SUM(Table22[[#This Row],[Net Investment
March 01-15, 2026]:[Net Investment
May 01-15, 2026]])</f>
        <v/>
      </c>
      <c r="BB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X23" s="38">
        <f>SUM(Table22[[#This Row],[Net Investment
April 16-30, 2026]:[Net Investment
May 01-15, 2026]])</f>
        <v/>
      </c>
      <c r="AY23" s="38">
        <f>SUM(Table22[[#This Row],[Net Investment
April 01-15, 2026]:[Net Investment
May 01-15, 2026]])</f>
        <v/>
      </c>
      <c r="AZ23" s="38">
        <f>SUM(Table22[[#This Row],[Net Investment
March 16-31, 2026]:[Net Investment
May 01-15, 2026]])</f>
        <v/>
      </c>
      <c r="BA23" s="38">
        <f>SUM(Table22[[#This Row],[Net Investment
March 01-15, 2026]:[Net Investment
May 01-15, 2026]])</f>
        <v/>
      </c>
      <c r="BB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X24" s="38">
        <f>SUM(Table22[[#This Row],[Net Investment
April 16-30, 2026]:[Net Investment
May 01-15, 2026]])</f>
        <v/>
      </c>
      <c r="AY24" s="38">
        <f>SUM(Table22[[#This Row],[Net Investment
April 01-15, 2026]:[Net Investment
May 01-15, 2026]])</f>
        <v/>
      </c>
      <c r="AZ24" s="38">
        <f>SUM(Table22[[#This Row],[Net Investment
March 16-31, 2026]:[Net Investment
May 01-15, 2026]])</f>
        <v/>
      </c>
      <c r="BA24" s="38">
        <f>SUM(Table22[[#This Row],[Net Investment
March 01-15, 2026]:[Net Investment
May 01-15, 2026]])</f>
        <v/>
      </c>
      <c r="BB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X25" s="38">
        <f>SUM(Table22[[#This Row],[Net Investment
April 16-30, 2026]:[Net Investment
May 01-15, 2026]])</f>
        <v/>
      </c>
      <c r="AY25" s="38">
        <f>SUM(Table22[[#This Row],[Net Investment
April 01-15, 2026]:[Net Investment
May 01-15, 2026]])</f>
        <v/>
      </c>
      <c r="AZ25" s="38">
        <f>SUM(Table22[[#This Row],[Net Investment
March 16-31, 2026]:[Net Investment
May 01-15, 2026]])</f>
        <v/>
      </c>
      <c r="BA25" s="38">
        <f>SUM(Table22[[#This Row],[Net Investment
March 01-15, 2026]:[Net Investment
May 01-15, 2026]])</f>
        <v/>
      </c>
      <c r="BB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X26" s="38">
        <f>SUM(Table22[[#This Row],[Net Investment
April 16-30, 2026]:[Net Investment
May 01-15, 2026]])</f>
        <v/>
      </c>
      <c r="AY26" s="38">
        <f>SUM(Table22[[#This Row],[Net Investment
April 01-15, 2026]:[Net Investment
May 01-15, 2026]])</f>
        <v/>
      </c>
      <c r="AZ26" s="38">
        <f>SUM(Table22[[#This Row],[Net Investment
March 16-31, 2026]:[Net Investment
May 01-15, 2026]])</f>
        <v/>
      </c>
      <c r="BA26" s="38">
        <f>SUM(Table22[[#This Row],[Net Investment
March 01-15, 2026]:[Net Investment
May 01-15, 2026]])</f>
        <v/>
      </c>
      <c r="BB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</row>
  </sheetData>
  <conditionalFormatting sqref="B2:AV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-9044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-2586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-773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-603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-2426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-634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-1852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-13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-5063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-11263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-12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-4501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-6733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-232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-4722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-10488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-2577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-1093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373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-146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629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-17055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4552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-1770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-888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-5338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-2003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-11617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14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-11829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-65260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2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-11244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-12856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-562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3193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-26169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2299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-3616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-4442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-317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-48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-17055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4552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-1770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-888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-5338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-2003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-11617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-11829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-65260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2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-11244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-12856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-562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3193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-26169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2299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-3616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6553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-4442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-317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-48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1134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2026-06-18T19:49:01Z</dcterms:modified>
  <cp:lastModifiedBy>Ankit Gupta</cp:lastModifiedBy>
</cp:coreProperties>
</file>