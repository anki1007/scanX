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Wide'!$AW$11</f>
            </numRef>
          </val>
        </ser>
        <ser>
          <idx val="48"/>
          <order val="48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Wide'!$AX$11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Wide'!$B$14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Wide'!$C$14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Wide'!$D$14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Wide'!$E$14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Wide'!$AU$14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Wide'!$AW$14</f>
            </numRef>
          </val>
        </ser>
        <ser>
          <idx val="97"/>
          <order val="97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Wide'!$AX$14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Wide'!$B$17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Wide'!$C$17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Wide'!$D$17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Wide'!$E$17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Wide'!$F$17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Wide'!$G$17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Wide'!$H$17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Wide'!$I$17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Wide'!$AT$17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Wide'!$AV$17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Wide'!$AW$17</f>
            </numRef>
          </val>
        </ser>
        <ser>
          <idx val="146"/>
          <order val="146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Wide'!$AX$17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Wide'!$B$2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Wide'!$C$2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Wide'!$D$2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Wide'!$E$2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Wide'!$F$2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Wide'!$G$2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Wide'!$H$2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Wide'!$I$2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Wide'!$J$2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Wide'!$K$2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Wide'!$L$2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Wide'!$M$2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Wide'!$N$2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Wide'!$O$2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Wide'!$P$2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Wide'!$Q$2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Wide'!$R$2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Wide'!$S$2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Wide'!$T$2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Wide'!$U$2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Wide'!$V$2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Wide'!$W$2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Wide'!$X$2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Wide'!$Y$2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Wide'!$Z$2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Wide'!$AA$2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Wide'!$AB$2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Wide'!$AC$2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Wide'!$AD$2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Wide'!$AE$2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Wide'!$AF$2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Wide'!$AG$2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Wide'!$AH$2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Wide'!$AI$2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Wide'!$AJ$2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Wide'!$AK$2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Wide'!$AL$2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Wide'!$AM$2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Wide'!$AN$2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Wide'!$AO$2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Wide'!$AP$2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Wide'!$AW$2</f>
            </numRef>
          </val>
        </ser>
        <ser>
          <idx val="195"/>
          <order val="195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Wide'!$B$10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Wide'!$C$10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Wide'!$D$10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Wide'!$E$10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Wide'!$F$10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Wide'!$G$10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Wide'!$H$10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Wide'!$I$10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Wide'!$J$10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Wide'!$K$10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Wide'!$L$10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Wide'!$M$10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Wide'!$N$10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Wide'!$O$10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Wide'!$P$10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Wide'!$Q$10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Wide'!$R$10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Wide'!$S$10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Wide'!$T$10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Wide'!$U$10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Wide'!$V$10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Wide'!$W$10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Wide'!$X$10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Wide'!$Y$10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Wide'!$Z$10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Wide'!$AA$10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Wide'!$AB$10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Wide'!$AC$10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Wide'!$AD$10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Wide'!$AE$10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Wide'!$AF$10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Wide'!$AG$10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Wide'!$AH$10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Wide'!$AI$10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Wide'!$AJ$10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Wide'!$AK$10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Wide'!$AL$10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Wide'!$AM$10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Wide'!$AN$10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Wide'!$AO$10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Wide'!$AP$10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Wide'!$AQ$10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Wide'!$AR$10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Wide'!$AS$10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Wide'!$AT$10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Wide'!$AU$10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Wide'!$AV$10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Wide'!$AW$10</f>
            </numRef>
          </val>
        </ser>
        <ser>
          <idx val="244"/>
          <order val="244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Wide'!$AX$10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Wide'!$B$8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Wide'!$C$8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Wide'!$D$8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Wide'!$E$8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Wide'!$F$8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Wide'!$G$8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Wide'!$H$8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Wide'!$I$8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Wide'!$J$8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Wide'!$K$8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Wide'!$L$8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Wide'!$M$8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Wide'!$N$8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Wide'!$O$8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Wide'!$P$8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Wide'!$Q$8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Wide'!$R$8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Wide'!$S$8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Wide'!$T$8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Wide'!$U$8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Wide'!$V$8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Wide'!$W$8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Wide'!$X$8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Wide'!$Y$8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Wide'!$Z$8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Wide'!$AA$8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Wide'!$AB$8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Wide'!$AC$8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Wide'!$AD$8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Wide'!$AE$8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Wide'!$AF$8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Wide'!$AG$8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Wide'!$AH$8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Wide'!$AI$8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Wide'!$AJ$8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Wide'!$AK$8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Wide'!$AL$8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Wide'!$AW$8</f>
            </numRef>
          </val>
        </ser>
        <ser>
          <idx val="293"/>
          <order val="293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Wide'!$B$22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Wide'!$C$22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Wide'!$D$22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Wide'!$E$22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Wide'!$F$22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Wide'!$G$22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Wide'!$H$22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Wide'!$I$22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Wide'!$J$22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Wide'!$K$22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Wide'!$L$22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Wide'!$M$22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Wide'!$N$22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Wide'!$O$22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Wide'!$P$22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Wide'!$Q$22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Wide'!$R$22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Wide'!$S$22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Wide'!$T$22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Wide'!$U$22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Wide'!$V$22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Wide'!$W$22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Wide'!$X$22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Wide'!$Y$22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Wide'!$Z$22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Wide'!$AA$22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Wide'!$AB$22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Wide'!$AC$22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Wide'!$AD$22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Wide'!$AE$22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Wide'!$AF$22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Wide'!$AG$22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Wide'!$AH$22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Wide'!$AI$22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Wide'!$AJ$22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Wide'!$AK$22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Wide'!$AL$22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Wide'!$AM$22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Wide'!$AN$22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Wide'!$AO$22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Wide'!$AP$22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Wide'!$AQ$22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Wide'!$AR$22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Wide'!$AS$22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Wide'!$AT$22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Wide'!$AU$22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Wide'!$AV$22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Wide'!$AW$22</f>
            </numRef>
          </val>
        </ser>
        <ser>
          <idx val="342"/>
          <order val="342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Wide'!$AX$22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Wide'!$B$13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Wide'!$C$13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Wide'!$D$13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Wide'!$E$13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Wide'!$F$13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Wide'!$G$13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Wide'!$H$13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Wide'!$I$13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Wide'!$J$13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Wide'!$K$13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Wide'!$L$13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Wide'!$M$13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Wide'!$N$13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Wide'!$O$13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Wide'!$P$13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Wide'!$Q$13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Wide'!$R$13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Wide'!$S$13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Wide'!$T$13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Wide'!$U$13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Wide'!$V$13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Wide'!$W$13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Wide'!$X$13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Wide'!$Y$13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Wide'!$Z$13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Wide'!$AA$13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Wide'!$AB$13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Wide'!$AC$13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Wide'!$AD$13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Wide'!$AE$13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Wide'!$AF$13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Wide'!$AG$13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Wide'!$AH$13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Wide'!$AI$13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Wide'!$AJ$13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Wide'!$AK$13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Wide'!$AL$13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Wide'!$AM$13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Wide'!$AN$13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Wide'!$AO$13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Wide'!$AP$13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Wide'!$AQ$13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Wide'!$AR$13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Wide'!$AS$13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Wide'!$AT$13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Wide'!$AU$13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Wide'!$AV$13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Wide'!$AW$13</f>
            </numRef>
          </val>
        </ser>
        <ser>
          <idx val="391"/>
          <order val="391"/>
          <tx>
            <strRef>
              <f>'Sectors Wide'!$A$13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'Monthly'!$Y$26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'Monthly'!$Z$26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AY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51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27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E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42" t="inlineStr">
        <is>
          <t>Net Investment
Jul 01-15, 2026</t>
        </is>
      </c>
      <c r="AY1" s="8" t="inlineStr">
        <is>
          <t>Sector Trend</t>
        </is>
      </c>
      <c r="AZ1" s="11" t="inlineStr">
        <is>
          <t>30 Days
Flow</t>
        </is>
      </c>
      <c r="BA1" s="11" t="inlineStr">
        <is>
          <t>45 Days
Flow</t>
        </is>
      </c>
      <c r="BB1" s="11" t="inlineStr">
        <is>
          <t>60 Days
Flow</t>
        </is>
      </c>
      <c r="BC1" s="11" t="inlineStr">
        <is>
          <t>75 Days
Flow</t>
        </is>
      </c>
      <c r="BD1" s="11" t="inlineStr">
        <is>
          <t>90 Days
Flow</t>
        </is>
      </c>
      <c r="BE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/>
      <c r="AZ2" s="38">
        <f>SUM(Table22[[#This Row],[Net Investment
April 16-30, 2026]:[Net Investment
May 01-15, 2026]])</f>
        <v/>
      </c>
      <c r="BA2" s="38">
        <f>SUM(Table22[[#This Row],[Net Investment
April 01-15, 2026]:[Net Investment
May 01-15, 2026]])</f>
        <v/>
      </c>
      <c r="BB2" s="38">
        <f>SUM(Table22[[#This Row],[Net Investment
March 16-31, 2026]:[Net Investment
May 01-15, 2026]])</f>
        <v/>
      </c>
      <c r="BC2" s="38">
        <f>SUM(Table22[[#This Row],[Net Investment
March 01-15, 2026]:[Net Investment
May 01-15, 2026]])</f>
        <v/>
      </c>
      <c r="BD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X3" t="n">
        <v>-2657</v>
      </c>
      <c r="AZ3" s="38">
        <f>SUM(Table22[[#This Row],[Net Investment
April 16-30, 2026]:[Net Investment
May 01-15, 2026]])</f>
        <v/>
      </c>
      <c r="BA3" s="38">
        <f>SUM(Table22[[#This Row],[Net Investment
April 01-15, 2026]:[Net Investment
May 01-15, 2026]])</f>
        <v/>
      </c>
      <c r="BB3" s="38">
        <f>SUM(Table22[[#This Row],[Net Investment
March 16-31, 2026]:[Net Investment
May 01-15, 2026]])</f>
        <v/>
      </c>
      <c r="BC3" s="38">
        <f>SUM(Table22[[#This Row],[Net Investment
March 01-15, 2026]:[Net Investment
May 01-15, 2026]])</f>
        <v/>
      </c>
      <c r="BD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X4" t="n">
        <v>-114</v>
      </c>
      <c r="AZ4" s="38">
        <f>SUM(Table22[[#This Row],[Net Investment
April 16-30, 2026]:[Net Investment
May 01-15, 2026]])</f>
        <v/>
      </c>
      <c r="BA4" s="38">
        <f>SUM(Table22[[#This Row],[Net Investment
April 01-15, 2026]:[Net Investment
May 01-15, 2026]])</f>
        <v/>
      </c>
      <c r="BB4" s="38">
        <f>SUM(Table22[[#This Row],[Net Investment
March 16-31, 2026]:[Net Investment
May 01-15, 2026]])</f>
        <v/>
      </c>
      <c r="BC4" s="38">
        <f>SUM(Table22[[#This Row],[Net Investment
March 01-15, 2026]:[Net Investment
May 01-15, 2026]])</f>
        <v/>
      </c>
      <c r="BD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X5" t="n">
        <v>403</v>
      </c>
      <c r="AZ5" s="38">
        <f>SUM(Table22[[#This Row],[Net Investment
April 16-30, 2026]:[Net Investment
May 01-15, 2026]])</f>
        <v/>
      </c>
      <c r="BA5" s="38">
        <f>SUM(Table22[[#This Row],[Net Investment
April 01-15, 2026]:[Net Investment
May 01-15, 2026]])</f>
        <v/>
      </c>
      <c r="BB5" s="38">
        <f>SUM(Table22[[#This Row],[Net Investment
March 16-31, 2026]:[Net Investment
May 01-15, 2026]])</f>
        <v/>
      </c>
      <c r="BC5" s="38">
        <f>SUM(Table22[[#This Row],[Net Investment
March 01-15, 2026]:[Net Investment
May 01-15, 2026]])</f>
        <v/>
      </c>
      <c r="BD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X6" t="n">
        <v>1574</v>
      </c>
      <c r="AZ6" s="38">
        <f>SUM(Table22[[#This Row],[Net Investment
April 16-30, 2026]:[Net Investment
May 01-15, 2026]])</f>
        <v/>
      </c>
      <c r="BA6" s="38">
        <f>SUM(Table22[[#This Row],[Net Investment
April 01-15, 2026]:[Net Investment
May 01-15, 2026]])</f>
        <v/>
      </c>
      <c r="BB6" s="38">
        <f>SUM(Table22[[#This Row],[Net Investment
March 16-31, 2026]:[Net Investment
May 01-15, 2026]])</f>
        <v/>
      </c>
      <c r="BC6" s="38">
        <f>SUM(Table22[[#This Row],[Net Investment
March 01-15, 2026]:[Net Investment
May 01-15, 2026]])</f>
        <v/>
      </c>
      <c r="BD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X7" t="n">
        <v>2384</v>
      </c>
      <c r="AZ7" s="38">
        <f>SUM(Table22[[#This Row],[Net Investment
April 16-30, 2026]:[Net Investment
May 01-15, 2026]])</f>
        <v/>
      </c>
      <c r="BA7" s="38">
        <f>SUM(Table22[[#This Row],[Net Investment
April 01-15, 2026]:[Net Investment
May 01-15, 2026]])</f>
        <v/>
      </c>
      <c r="BB7" s="38">
        <f>SUM(Table22[[#This Row],[Net Investment
March 16-31, 2026]:[Net Investment
May 01-15, 2026]])</f>
        <v/>
      </c>
      <c r="BC7" s="38">
        <f>SUM(Table22[[#This Row],[Net Investment
March 01-15, 2026]:[Net Investment
May 01-15, 2026]])</f>
        <v/>
      </c>
      <c r="BD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X8" t="n">
        <v>7361</v>
      </c>
      <c r="AZ8" s="38">
        <f>SUM(Table22[[#This Row],[Net Investment
April 16-30, 2026]:[Net Investment
May 01-15, 2026]])</f>
        <v/>
      </c>
      <c r="BA8" s="38">
        <f>SUM(Table22[[#This Row],[Net Investment
April 01-15, 2026]:[Net Investment
May 01-15, 2026]])</f>
        <v/>
      </c>
      <c r="BB8" s="38">
        <f>SUM(Table22[[#This Row],[Net Investment
March 16-31, 2026]:[Net Investment
May 01-15, 2026]])</f>
        <v/>
      </c>
      <c r="BC8" s="38">
        <f>SUM(Table22[[#This Row],[Net Investment
March 01-15, 2026]:[Net Investment
May 01-15, 2026]])</f>
        <v/>
      </c>
      <c r="BD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X9" t="n">
        <v>29</v>
      </c>
      <c r="AZ9" s="38">
        <f>SUM(Table22[[#This Row],[Net Investment
April 16-30, 2026]:[Net Investment
May 01-15, 2026]])</f>
        <v/>
      </c>
      <c r="BA9" s="38">
        <f>SUM(Table22[[#This Row],[Net Investment
April 01-15, 2026]:[Net Investment
May 01-15, 2026]])</f>
        <v/>
      </c>
      <c r="BB9" s="38">
        <f>SUM(Table22[[#This Row],[Net Investment
March 16-31, 2026]:[Net Investment
May 01-15, 2026]])</f>
        <v/>
      </c>
      <c r="BC9" s="38">
        <f>SUM(Table22[[#This Row],[Net Investment
March 01-15, 2026]:[Net Investment
May 01-15, 2026]])</f>
        <v/>
      </c>
      <c r="BD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Z10" s="38">
        <f>SUM(Table22[[#This Row],[Net Investment
April 16-30, 2026]:[Net Investment
May 01-15, 2026]])</f>
        <v/>
      </c>
      <c r="BA10" s="38">
        <f>SUM(Table22[[#This Row],[Net Investment
April 01-15, 2026]:[Net Investment
May 01-15, 2026]])</f>
        <v/>
      </c>
      <c r="BB10" s="38">
        <f>SUM(Table22[[#This Row],[Net Investment
March 16-31, 2026]:[Net Investment
May 01-15, 2026]])</f>
        <v/>
      </c>
      <c r="BC10" s="38">
        <f>SUM(Table22[[#This Row],[Net Investment
March 01-15, 2026]:[Net Investment
May 01-15, 2026]])</f>
        <v/>
      </c>
      <c r="BD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Z11" s="38">
        <f>SUM(Table22[[#This Row],[Net Investment
April 16-30, 2026]:[Net Investment
May 01-15, 2026]])</f>
        <v/>
      </c>
      <c r="BA11" s="38">
        <f>SUM(Table22[[#This Row],[Net Investment
April 01-15, 2026]:[Net Investment
May 01-15, 2026]])</f>
        <v/>
      </c>
      <c r="BB11" s="38">
        <f>SUM(Table22[[#This Row],[Net Investment
March 16-31, 2026]:[Net Investment
May 01-15, 2026]])</f>
        <v/>
      </c>
      <c r="BC11" s="38">
        <f>SUM(Table22[[#This Row],[Net Investment
March 01-15, 2026]:[Net Investment
May 01-15, 2026]])</f>
        <v/>
      </c>
      <c r="BD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X12" t="n">
        <v>-11</v>
      </c>
      <c r="AZ12" s="38">
        <f>SUM(Table22[[#This Row],[Net Investment
April 16-30, 2026]:[Net Investment
May 01-15, 2026]])</f>
        <v/>
      </c>
      <c r="BA12" s="38">
        <f>SUM(Table22[[#This Row],[Net Investment
April 01-15, 2026]:[Net Investment
May 01-15, 2026]])</f>
        <v/>
      </c>
      <c r="BB12" s="38">
        <f>SUM(Table22[[#This Row],[Net Investment
March 16-31, 2026]:[Net Investment
May 01-15, 2026]])</f>
        <v/>
      </c>
      <c r="BC12" s="38">
        <f>SUM(Table22[[#This Row],[Net Investment
March 01-15, 2026]:[Net Investment
May 01-15, 2026]])</f>
        <v/>
      </c>
      <c r="BD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X13" t="n">
        <v>4101</v>
      </c>
      <c r="AZ13" s="38">
        <f>SUM(Table22[[#This Row],[Net Investment
April 16-30, 2026]:[Net Investment
May 01-15, 2026]])</f>
        <v/>
      </c>
      <c r="BA13" s="38">
        <f>SUM(Table22[[#This Row],[Net Investment
April 01-15, 2026]:[Net Investment
May 01-15, 2026]])</f>
        <v/>
      </c>
      <c r="BB13" s="38">
        <f>SUM(Table22[[#This Row],[Net Investment
March 16-31, 2026]:[Net Investment
May 01-15, 2026]])</f>
        <v/>
      </c>
      <c r="BC13" s="38">
        <f>SUM(Table22[[#This Row],[Net Investment
March 01-15, 2026]:[Net Investment
May 01-15, 2026]])</f>
        <v/>
      </c>
      <c r="BD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X14" t="n">
        <v>60</v>
      </c>
      <c r="AZ14" s="38">
        <f>SUM(Table22[[#This Row],[Net Investment
April 16-30, 2026]:[Net Investment
May 01-15, 2026]])</f>
        <v/>
      </c>
      <c r="BA14" s="38">
        <f>SUM(Table22[[#This Row],[Net Investment
April 01-15, 2026]:[Net Investment
May 01-15, 2026]])</f>
        <v/>
      </c>
      <c r="BB14" s="38">
        <f>SUM(Table22[[#This Row],[Net Investment
March 16-31, 2026]:[Net Investment
May 01-15, 2026]])</f>
        <v/>
      </c>
      <c r="BC14" s="38">
        <f>SUM(Table22[[#This Row],[Net Investment
March 01-15, 2026]:[Net Investment
May 01-15, 2026]])</f>
        <v/>
      </c>
      <c r="BD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X15" t="n">
        <v>-289</v>
      </c>
      <c r="AZ15" s="38">
        <f>SUM(Table22[[#This Row],[Net Investment
April 16-30, 2026]:[Net Investment
May 01-15, 2026]])</f>
        <v/>
      </c>
      <c r="BA15" s="38">
        <f>SUM(Table22[[#This Row],[Net Investment
April 01-15, 2026]:[Net Investment
May 01-15, 2026]])</f>
        <v/>
      </c>
      <c r="BB15" s="38">
        <f>SUM(Table22[[#This Row],[Net Investment
March 16-31, 2026]:[Net Investment
May 01-15, 2026]])</f>
        <v/>
      </c>
      <c r="BC15" s="38">
        <f>SUM(Table22[[#This Row],[Net Investment
March 01-15, 2026]:[Net Investment
May 01-15, 2026]])</f>
        <v/>
      </c>
      <c r="BD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X16" t="n">
        <v>5993</v>
      </c>
      <c r="AZ16" s="38">
        <f>SUM(Table22[[#This Row],[Net Investment
April 16-30, 2026]:[Net Investment
May 01-15, 2026]])</f>
        <v/>
      </c>
      <c r="BA16" s="38">
        <f>SUM(Table22[[#This Row],[Net Investment
April 01-15, 2026]:[Net Investment
May 01-15, 2026]])</f>
        <v/>
      </c>
      <c r="BB16" s="38">
        <f>SUM(Table22[[#This Row],[Net Investment
March 16-31, 2026]:[Net Investment
May 01-15, 2026]])</f>
        <v/>
      </c>
      <c r="BC16" s="38">
        <f>SUM(Table22[[#This Row],[Net Investment
March 01-15, 2026]:[Net Investment
May 01-15, 2026]])</f>
        <v/>
      </c>
      <c r="BD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Z17" s="38">
        <f>SUM(Table22[[#This Row],[Net Investment
April 16-30, 2026]:[Net Investment
May 01-15, 2026]])</f>
        <v/>
      </c>
      <c r="BA17" s="38">
        <f>SUM(Table22[[#This Row],[Net Investment
April 01-15, 2026]:[Net Investment
May 01-15, 2026]])</f>
        <v/>
      </c>
      <c r="BB17" s="38">
        <f>SUM(Table22[[#This Row],[Net Investment
March 16-31, 2026]:[Net Investment
May 01-15, 2026]])</f>
        <v/>
      </c>
      <c r="BC17" s="38">
        <f>SUM(Table22[[#This Row],[Net Investment
March 01-15, 2026]:[Net Investment
May 01-15, 2026]])</f>
        <v/>
      </c>
      <c r="BD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Z18" s="38">
        <f>SUM(Table22[[#This Row],[Net Investment
April 16-30, 2026]:[Net Investment
May 01-15, 2026]])</f>
        <v/>
      </c>
      <c r="BA18" s="38">
        <f>SUM(Table22[[#This Row],[Net Investment
April 01-15, 2026]:[Net Investment
May 01-15, 2026]])</f>
        <v/>
      </c>
      <c r="BB18" s="38">
        <f>SUM(Table22[[#This Row],[Net Investment
March 16-31, 2026]:[Net Investment
May 01-15, 2026]])</f>
        <v/>
      </c>
      <c r="BC18" s="38">
        <f>SUM(Table22[[#This Row],[Net Investment
March 01-15, 2026]:[Net Investment
May 01-15, 2026]])</f>
        <v/>
      </c>
      <c r="BD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X19" t="n">
        <v>2072</v>
      </c>
      <c r="AZ19" s="38">
        <f>SUM(Table22[[#This Row],[Net Investment
April 16-30, 2026]:[Net Investment
May 01-15, 2026]])</f>
        <v/>
      </c>
      <c r="BA19" s="38">
        <f>SUM(Table22[[#This Row],[Net Investment
April 01-15, 2026]:[Net Investment
May 01-15, 2026]])</f>
        <v/>
      </c>
      <c r="BB19" s="38">
        <f>SUM(Table22[[#This Row],[Net Investment
March 16-31, 2026]:[Net Investment
May 01-15, 2026]])</f>
        <v/>
      </c>
      <c r="BC19" s="38">
        <f>SUM(Table22[[#This Row],[Net Investment
March 01-15, 2026]:[Net Investment
May 01-15, 2026]])</f>
        <v/>
      </c>
      <c r="BD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X20" t="n">
        <v>2405</v>
      </c>
      <c r="AZ20" s="38">
        <f>SUM(Table22[[#This Row],[Net Investment
April 16-30, 2026]:[Net Investment
May 01-15, 2026]])</f>
        <v/>
      </c>
      <c r="BA20" s="38">
        <f>SUM(Table22[[#This Row],[Net Investment
April 01-15, 2026]:[Net Investment
May 01-15, 2026]])</f>
        <v/>
      </c>
      <c r="BB20" s="38">
        <f>SUM(Table22[[#This Row],[Net Investment
March 16-31, 2026]:[Net Investment
May 01-15, 2026]])</f>
        <v/>
      </c>
      <c r="BC20" s="38">
        <f>SUM(Table22[[#This Row],[Net Investment
March 01-15, 2026]:[Net Investment
May 01-15, 2026]])</f>
        <v/>
      </c>
      <c r="BD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X21" t="n">
        <v>-2454</v>
      </c>
      <c r="AZ21" s="38">
        <f>SUM(Table22[[#This Row],[Net Investment
April 16-30, 2026]:[Net Investment
May 01-15, 2026]])</f>
        <v/>
      </c>
      <c r="BA21" s="38">
        <f>SUM(Table22[[#This Row],[Net Investment
April 01-15, 2026]:[Net Investment
May 01-15, 2026]])</f>
        <v/>
      </c>
      <c r="BB21" s="38">
        <f>SUM(Table22[[#This Row],[Net Investment
March 16-31, 2026]:[Net Investment
May 01-15, 2026]])</f>
        <v/>
      </c>
      <c r="BC21" s="38">
        <f>SUM(Table22[[#This Row],[Net Investment
March 01-15, 2026]:[Net Investment
May 01-15, 2026]])</f>
        <v/>
      </c>
      <c r="BD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X22" t="n">
        <v>248</v>
      </c>
      <c r="AZ22" s="38">
        <f>SUM(Table22[[#This Row],[Net Investment
April 16-30, 2026]:[Net Investment
May 01-15, 2026]])</f>
        <v/>
      </c>
      <c r="BA22" s="38">
        <f>SUM(Table22[[#This Row],[Net Investment
April 01-15, 2026]:[Net Investment
May 01-15, 2026]])</f>
        <v/>
      </c>
      <c r="BB22" s="38">
        <f>SUM(Table22[[#This Row],[Net Investment
March 16-31, 2026]:[Net Investment
May 01-15, 2026]])</f>
        <v/>
      </c>
      <c r="BC22" s="38">
        <f>SUM(Table22[[#This Row],[Net Investment
March 01-15, 2026]:[Net Investment
May 01-15, 2026]])</f>
        <v/>
      </c>
      <c r="BD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X23" t="n">
        <v>119</v>
      </c>
      <c r="AZ23" s="38">
        <f>SUM(Table22[[#This Row],[Net Investment
April 16-30, 2026]:[Net Investment
May 01-15, 2026]])</f>
        <v/>
      </c>
      <c r="BA23" s="38">
        <f>SUM(Table22[[#This Row],[Net Investment
April 01-15, 2026]:[Net Investment
May 01-15, 2026]])</f>
        <v/>
      </c>
      <c r="BB23" s="38">
        <f>SUM(Table22[[#This Row],[Net Investment
March 16-31, 2026]:[Net Investment
May 01-15, 2026]])</f>
        <v/>
      </c>
      <c r="BC23" s="38">
        <f>SUM(Table22[[#This Row],[Net Investment
March 01-15, 2026]:[Net Investment
May 01-15, 2026]])</f>
        <v/>
      </c>
      <c r="BD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X24" t="n">
        <v>0</v>
      </c>
      <c r="AZ24" s="38">
        <f>SUM(Table22[[#This Row],[Net Investment
April 16-30, 2026]:[Net Investment
May 01-15, 2026]])</f>
        <v/>
      </c>
      <c r="BA24" s="38">
        <f>SUM(Table22[[#This Row],[Net Investment
April 01-15, 2026]:[Net Investment
May 01-15, 2026]])</f>
        <v/>
      </c>
      <c r="BB24" s="38">
        <f>SUM(Table22[[#This Row],[Net Investment
March 16-31, 2026]:[Net Investment
May 01-15, 2026]])</f>
        <v/>
      </c>
      <c r="BC24" s="38">
        <f>SUM(Table22[[#This Row],[Net Investment
March 01-15, 2026]:[Net Investment
May 01-15, 2026]])</f>
        <v/>
      </c>
      <c r="BD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X25" t="n">
        <v>1412</v>
      </c>
      <c r="AZ25" s="38">
        <f>SUM(Table22[[#This Row],[Net Investment
April 16-30, 2026]:[Net Investment
May 01-15, 2026]])</f>
        <v/>
      </c>
      <c r="BA25" s="38">
        <f>SUM(Table22[[#This Row],[Net Investment
April 01-15, 2026]:[Net Investment
May 01-15, 2026]])</f>
        <v/>
      </c>
      <c r="BB25" s="38">
        <f>SUM(Table22[[#This Row],[Net Investment
March 16-31, 2026]:[Net Investment
May 01-15, 2026]])</f>
        <v/>
      </c>
      <c r="BC25" s="38">
        <f>SUM(Table22[[#This Row],[Net Investment
March 01-15, 2026]:[Net Investment
May 01-15, 2026]])</f>
        <v/>
      </c>
      <c r="BD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AZ26" s="38">
        <f>SUM(Table22[[#This Row],[Net Investment
April 16-30, 2026]:[Net Investment
May 01-15, 2026]])</f>
        <v/>
      </c>
      <c r="BA26" s="38">
        <f>SUM(Table22[[#This Row],[Net Investment
April 01-15, 2026]:[Net Investment
May 01-15, 2026]])</f>
        <v/>
      </c>
      <c r="BB26" s="38">
        <f>SUM(Table22[[#This Row],[Net Investment
March 16-31, 2026]:[Net Investment
May 01-15, 2026]])</f>
        <v/>
      </c>
      <c r="BC26" s="38">
        <f>SUM(Table22[[#This Row],[Net Investment
March 01-15, 2026]:[Net Investment
May 01-15, 2026]])</f>
        <v/>
      </c>
      <c r="BD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74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  <row r="1151">
      <c r="A1151" s="43" t="n">
        <v>46218</v>
      </c>
      <c r="B1151" t="inlineStr">
        <is>
          <t>Jul 01-15, 2026</t>
        </is>
      </c>
      <c r="C1151" t="inlineStr">
        <is>
          <t>Automobile and Auto Components</t>
        </is>
      </c>
      <c r="D1151" t="n">
        <v>-6936</v>
      </c>
      <c r="E1151" t="n">
        <v>0</v>
      </c>
      <c r="F1151" t="n">
        <v>0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-6936</v>
      </c>
    </row>
    <row r="1152">
      <c r="A1152" s="43" t="n">
        <v>46218</v>
      </c>
      <c r="B1152" t="inlineStr">
        <is>
          <t>Jul 01-15, 2026</t>
        </is>
      </c>
      <c r="C1152" t="inlineStr">
        <is>
          <t>Capital Goods</t>
        </is>
      </c>
      <c r="D1152" t="n">
        <v>-2657</v>
      </c>
      <c r="E1152" t="n">
        <v>0</v>
      </c>
      <c r="F1152" t="n">
        <v>0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-2657</v>
      </c>
    </row>
    <row r="1153">
      <c r="A1153" s="43" t="n">
        <v>46218</v>
      </c>
      <c r="B1153" t="inlineStr">
        <is>
          <t>Jul 01-15, 2026</t>
        </is>
      </c>
      <c r="C1153" t="inlineStr">
        <is>
          <t>Chemicals</t>
        </is>
      </c>
      <c r="D1153" t="n">
        <v>-114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-114</v>
      </c>
    </row>
    <row r="1154">
      <c r="A1154" s="43" t="n">
        <v>46218</v>
      </c>
      <c r="B1154" t="inlineStr">
        <is>
          <t>Jul 01-15, 2026</t>
        </is>
      </c>
      <c r="C1154" t="inlineStr">
        <is>
          <t>Construction</t>
        </is>
      </c>
      <c r="D1154" t="n">
        <v>403</v>
      </c>
      <c r="E1154" t="n">
        <v>-1</v>
      </c>
      <c r="F1154" t="n">
        <v>0</v>
      </c>
      <c r="G1154" t="n">
        <v>0</v>
      </c>
      <c r="H1154" t="n">
        <v>-36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366</v>
      </c>
    </row>
    <row r="1155">
      <c r="A1155" s="43" t="n">
        <v>46218</v>
      </c>
      <c r="B1155" t="inlineStr">
        <is>
          <t>Jul 01-15, 2026</t>
        </is>
      </c>
      <c r="C1155" t="inlineStr">
        <is>
          <t>Construction Materials</t>
        </is>
      </c>
      <c r="D1155" t="n">
        <v>1574</v>
      </c>
      <c r="E1155" t="n">
        <v>0</v>
      </c>
      <c r="F1155" t="n">
        <v>0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1574</v>
      </c>
    </row>
    <row r="1156">
      <c r="A1156" s="43" t="n">
        <v>46218</v>
      </c>
      <c r="B1156" t="inlineStr">
        <is>
          <t>Jul 01-15, 2026</t>
        </is>
      </c>
      <c r="C1156" t="inlineStr">
        <is>
          <t>Consumer Durables</t>
        </is>
      </c>
      <c r="D1156" t="n">
        <v>2384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2384</v>
      </c>
    </row>
    <row r="1157">
      <c r="A1157" s="43" t="n">
        <v>46218</v>
      </c>
      <c r="B1157" t="inlineStr">
        <is>
          <t>Jul 01-15, 2026</t>
        </is>
      </c>
      <c r="C1157" t="inlineStr">
        <is>
          <t>Consumer Services</t>
        </is>
      </c>
      <c r="D1157" t="n">
        <v>7361</v>
      </c>
      <c r="E1157" t="n">
        <v>0</v>
      </c>
      <c r="F1157" t="n">
        <v>0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7361</v>
      </c>
    </row>
    <row r="1158">
      <c r="A1158" s="43" t="n">
        <v>46218</v>
      </c>
      <c r="B1158" t="inlineStr">
        <is>
          <t>Jul 01-15, 2026</t>
        </is>
      </c>
      <c r="C1158" t="inlineStr">
        <is>
          <t>Diversified</t>
        </is>
      </c>
      <c r="D1158" t="n">
        <v>29</v>
      </c>
      <c r="E1158" t="n">
        <v>0</v>
      </c>
      <c r="F1158" t="n">
        <v>0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29</v>
      </c>
    </row>
    <row r="1159">
      <c r="A1159" s="43" t="n">
        <v>46218</v>
      </c>
      <c r="B1159" t="inlineStr">
        <is>
          <t>Jul 01-15, 2026</t>
        </is>
      </c>
      <c r="C1159" t="inlineStr">
        <is>
          <t>Fast Moving Consumer Goods</t>
        </is>
      </c>
      <c r="D1159" t="n">
        <v>-1106</v>
      </c>
      <c r="E1159" t="n">
        <v>0</v>
      </c>
      <c r="F1159" t="n">
        <v>0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-1106</v>
      </c>
    </row>
    <row r="1160">
      <c r="A1160" s="43" t="n">
        <v>46218</v>
      </c>
      <c r="B1160" t="inlineStr">
        <is>
          <t>Jul 01-15, 2026</t>
        </is>
      </c>
      <c r="C1160" t="inlineStr">
        <is>
          <t>Financial Services</t>
        </is>
      </c>
      <c r="D1160" t="n">
        <v>1975</v>
      </c>
      <c r="E1160" t="n">
        <v>986</v>
      </c>
      <c r="F1160" t="n">
        <v>-504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5</v>
      </c>
      <c r="N1160" t="n">
        <v>0</v>
      </c>
      <c r="O1160" t="n">
        <v>2462</v>
      </c>
    </row>
    <row r="1161">
      <c r="A1161" s="43" t="n">
        <v>46218</v>
      </c>
      <c r="B1161" t="inlineStr">
        <is>
          <t>Jul 01-15, 2026</t>
        </is>
      </c>
      <c r="C1161" t="inlineStr">
        <is>
          <t>Forest Materials</t>
        </is>
      </c>
      <c r="D1161" t="n">
        <v>-11</v>
      </c>
      <c r="E1161" t="n">
        <v>0</v>
      </c>
      <c r="F1161" t="n">
        <v>0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-11</v>
      </c>
    </row>
    <row r="1162">
      <c r="A1162" s="43" t="n">
        <v>46218</v>
      </c>
      <c r="B1162" t="inlineStr">
        <is>
          <t>Jul 01-15, 2026</t>
        </is>
      </c>
      <c r="C1162" t="inlineStr">
        <is>
          <t>Healthcare</t>
        </is>
      </c>
      <c r="D1162" t="n">
        <v>4101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4101</v>
      </c>
    </row>
    <row r="1163">
      <c r="A1163" s="43" t="n">
        <v>46218</v>
      </c>
      <c r="B1163" t="inlineStr">
        <is>
          <t>Jul 01-15, 2026</t>
        </is>
      </c>
      <c r="C1163" t="inlineStr">
        <is>
          <t>Information Technology</t>
        </is>
      </c>
      <c r="D1163" t="n">
        <v>60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60</v>
      </c>
    </row>
    <row r="1164">
      <c r="A1164" s="43" t="n">
        <v>46218</v>
      </c>
      <c r="B1164" t="inlineStr">
        <is>
          <t>Jul 01-15, 2026</t>
        </is>
      </c>
      <c r="C1164" t="inlineStr">
        <is>
          <t>Media, Entertainment &amp; Publication</t>
        </is>
      </c>
      <c r="D1164" t="n">
        <v>-289</v>
      </c>
      <c r="E1164" t="n">
        <v>0</v>
      </c>
      <c r="F1164" t="n">
        <v>0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-289</v>
      </c>
    </row>
    <row r="1165">
      <c r="A1165" s="43" t="n">
        <v>46218</v>
      </c>
      <c r="B1165" t="inlineStr">
        <is>
          <t>Jul 01-15, 2026</t>
        </is>
      </c>
      <c r="C1165" t="inlineStr">
        <is>
          <t>Metals &amp; Mining</t>
        </is>
      </c>
      <c r="D1165" t="n">
        <v>5993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5993</v>
      </c>
    </row>
    <row r="1166">
      <c r="A1166" s="43" t="n">
        <v>46218</v>
      </c>
      <c r="B1166" t="inlineStr">
        <is>
          <t>Jul 01-15, 2026</t>
        </is>
      </c>
      <c r="C1166" t="inlineStr">
        <is>
          <t>Oil, Gas &amp; Consumable Fuels</t>
        </is>
      </c>
      <c r="D1166" t="n">
        <v>258</v>
      </c>
      <c r="E1166" t="n">
        <v>-31</v>
      </c>
      <c r="F1166" t="n">
        <v>0</v>
      </c>
      <c r="G1166" t="n">
        <v>0</v>
      </c>
      <c r="H1166" t="n">
        <v>1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228</v>
      </c>
    </row>
    <row r="1167">
      <c r="A1167" s="43" t="n">
        <v>46218</v>
      </c>
      <c r="B1167" t="inlineStr">
        <is>
          <t>Jul 01-15, 2026</t>
        </is>
      </c>
      <c r="C1167" t="inlineStr">
        <is>
          <t>Others</t>
        </is>
      </c>
      <c r="D1167" t="n">
        <v>1412</v>
      </c>
      <c r="E1167" t="n">
        <v>-405</v>
      </c>
      <c r="F1167" t="n">
        <v>-1577</v>
      </c>
      <c r="G1167" t="n">
        <v>0</v>
      </c>
      <c r="H1167" t="n">
        <v>0</v>
      </c>
      <c r="I1167" t="n">
        <v>29</v>
      </c>
      <c r="J1167" t="n">
        <v>22</v>
      </c>
      <c r="K1167" t="n">
        <v>9</v>
      </c>
      <c r="L1167" t="n">
        <v>0</v>
      </c>
      <c r="M1167" t="n">
        <v>826</v>
      </c>
      <c r="N1167" t="n">
        <v>0</v>
      </c>
      <c r="O1167" t="n">
        <v>316</v>
      </c>
    </row>
    <row r="1168">
      <c r="A1168" s="43" t="n">
        <v>46218</v>
      </c>
      <c r="B1168" t="inlineStr">
        <is>
          <t>Jul 01-15, 2026</t>
        </is>
      </c>
      <c r="C1168" t="inlineStr">
        <is>
          <t>Power</t>
        </is>
      </c>
      <c r="D1168" t="n">
        <v>-1267</v>
      </c>
      <c r="E1168" t="n">
        <v>-54</v>
      </c>
      <c r="F1168" t="n">
        <v>0</v>
      </c>
      <c r="G1168" t="n">
        <v>0</v>
      </c>
      <c r="H1168" t="n">
        <v>17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-1304</v>
      </c>
    </row>
    <row r="1169">
      <c r="A1169" s="43" t="n">
        <v>46218</v>
      </c>
      <c r="B1169" t="inlineStr">
        <is>
          <t>Jul 01-15, 2026</t>
        </is>
      </c>
      <c r="C1169" t="inlineStr">
        <is>
          <t>Realty</t>
        </is>
      </c>
      <c r="D1169" t="n">
        <v>2072</v>
      </c>
      <c r="E1169" t="n">
        <v>0</v>
      </c>
      <c r="F1169" t="n">
        <v>-33</v>
      </c>
      <c r="G1169" t="n">
        <v>0</v>
      </c>
      <c r="H1169" t="n">
        <v>153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2192</v>
      </c>
    </row>
    <row r="1170">
      <c r="A1170" s="43" t="n">
        <v>46218</v>
      </c>
      <c r="B1170" t="inlineStr">
        <is>
          <t>Jul 01-15, 2026</t>
        </is>
      </c>
      <c r="C1170" t="inlineStr">
        <is>
          <t>Services</t>
        </is>
      </c>
      <c r="D1170" t="n">
        <v>2405</v>
      </c>
      <c r="E1170" t="n">
        <v>-2</v>
      </c>
      <c r="F1170" t="n">
        <v>0</v>
      </c>
      <c r="G1170" t="n">
        <v>0</v>
      </c>
      <c r="H1170" t="n">
        <v>-50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2353</v>
      </c>
    </row>
    <row r="1171">
      <c r="A1171" s="43" t="n">
        <v>46218</v>
      </c>
      <c r="B1171" t="inlineStr">
        <is>
          <t>Jul 01-15, 2026</t>
        </is>
      </c>
      <c r="C1171" t="inlineStr">
        <is>
          <t>Sovereign</t>
        </is>
      </c>
      <c r="D1171" t="n">
        <v>0</v>
      </c>
      <c r="E1171" t="n">
        <v>3454</v>
      </c>
      <c r="F1171" t="n">
        <v>0</v>
      </c>
      <c r="G1171" t="n">
        <v>7234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10688</v>
      </c>
    </row>
    <row r="1172">
      <c r="A1172" s="43" t="n">
        <v>46218</v>
      </c>
      <c r="B1172" t="inlineStr">
        <is>
          <t>Jul 01-15, 2026</t>
        </is>
      </c>
      <c r="C1172" t="inlineStr">
        <is>
          <t>Telecommunication</t>
        </is>
      </c>
      <c r="D1172" t="n">
        <v>-2454</v>
      </c>
      <c r="E1172" t="n">
        <v>0</v>
      </c>
      <c r="F1172" t="n">
        <v>0</v>
      </c>
      <c r="G1172" t="n">
        <v>0</v>
      </c>
      <c r="H1172" t="n">
        <v>2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-2452</v>
      </c>
    </row>
    <row r="1173">
      <c r="A1173" s="43" t="n">
        <v>46218</v>
      </c>
      <c r="B1173" t="inlineStr">
        <is>
          <t>Jul 01-15, 2026</t>
        </is>
      </c>
      <c r="C1173" t="inlineStr">
        <is>
          <t>Textiles</t>
        </is>
      </c>
      <c r="D1173" t="n">
        <v>248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248</v>
      </c>
    </row>
    <row r="1174">
      <c r="A1174" s="43" t="n">
        <v>46218</v>
      </c>
      <c r="B1174" t="inlineStr">
        <is>
          <t>Jul 01-15, 2026</t>
        </is>
      </c>
      <c r="C1174" t="inlineStr">
        <is>
          <t>Utilities</t>
        </is>
      </c>
      <c r="D1174" t="n">
        <v>119</v>
      </c>
      <c r="E1174" t="n">
        <v>0</v>
      </c>
      <c r="F1174" t="n">
        <v>0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119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X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  <col width="14" customWidth="1" style="30" min="50" max="50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  <c r="AX1" s="41" t="inlineStr">
        <is>
          <t>2026-07-15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  <c r="AX2" t="n">
        <v>-6936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  <c r="AX3" t="n">
        <v>-2657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  <c r="AX4" t="n">
        <v>-114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  <c r="AX5" t="n">
        <v>403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  <c r="AX6" t="n">
        <v>1574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  <c r="AX7" t="n">
        <v>2384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  <c r="AX8" t="n">
        <v>7361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  <c r="AX9" t="n">
        <v>29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  <c r="AX10" t="n">
        <v>-1106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  <c r="AX11" t="n">
        <v>1975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  <c r="AX12" t="n">
        <v>-11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  <c r="AX13" t="n">
        <v>4101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  <c r="AX14" t="n">
        <v>60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  <c r="AX15" t="n">
        <v>-289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  <c r="AX16" t="n">
        <v>5993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  <c r="AX17" t="n">
        <v>258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  <c r="AX18" t="n">
        <v>-1267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  <c r="AX19" t="n">
        <v>2072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  <c r="AX20" t="n">
        <v>2405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  <c r="AX22" t="n">
        <v>-2454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  <c r="AX23" t="n">
        <v>248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  <c r="AX24" t="n">
        <v>119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  <c r="AX25" t="n">
        <v>1412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  <c r="AX26" s="42">
        <f>SUM(AX2:AX25)</f>
        <v/>
      </c>
    </row>
  </sheetData>
  <conditionalFormatting sqref="B2:AX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  <c r="Z1" s="41" t="inlineStr">
        <is>
          <t>Jul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  <c r="Z2" t="n">
        <v>-6936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  <c r="Z3" t="n">
        <v>-2657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  <c r="Z4" t="n">
        <v>-114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  <c r="Z5" t="n">
        <v>403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  <c r="Z6" t="n">
        <v>1574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  <c r="Z7" t="n">
        <v>2384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  <c r="Z8" t="n">
        <v>7361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  <c r="Z9" t="n">
        <v>29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  <c r="Z10" t="n">
        <v>-1106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  <c r="Z11" t="n">
        <v>1975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  <c r="Z12" t="n">
        <v>-11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  <c r="Z13" t="n">
        <v>4101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  <c r="Z14" t="n">
        <v>60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  <c r="Z15" t="n">
        <v>-289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  <c r="Z16" t="n">
        <v>5993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  <c r="Z17" t="n">
        <v>258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  <c r="Z18" t="n">
        <v>-1267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  <c r="Z19" t="n">
        <v>2072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  <c r="Z20" t="n">
        <v>2405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  <c r="Z22" t="n">
        <v>-2454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  <c r="Z23" t="n">
        <v>248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  <c r="Z24" t="n">
        <v>119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  <c r="Z25" t="n">
        <v>1412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</row>
  </sheetData>
  <conditionalFormatting sqref="B2:Z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  <c r="J1" s="41" t="inlineStr">
        <is>
          <t>2026 Q3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  <c r="J2" t="n">
        <v>-6936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  <c r="J3" t="n">
        <v>-2657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  <c r="J4" t="n">
        <v>-114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  <c r="J5" t="n">
        <v>403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  <c r="J6" t="n">
        <v>1574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  <c r="J7" t="n">
        <v>2384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  <c r="J8" t="n">
        <v>7361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  <c r="J9" t="n">
        <v>29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  <c r="J10" t="n">
        <v>-1106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  <c r="J11" t="n">
        <v>1975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  <c r="J12" t="n">
        <v>-11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  <c r="J13" t="n">
        <v>4101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  <c r="J14" t="n">
        <v>60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  <c r="J15" t="n">
        <v>-289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  <c r="J16" t="n">
        <v>5993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  <c r="J17" t="n">
        <v>258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  <c r="J18" t="n">
        <v>-1267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  <c r="J19" t="n">
        <v>2072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  <c r="J20" t="n">
        <v>2405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  <c r="J22" t="n">
        <v>-2454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  <c r="J23" t="n">
        <v>248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  <c r="J24" t="n">
        <v>119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  <c r="J25" t="n">
        <v>1412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</row>
  </sheetData>
  <conditionalFormatting sqref="B2:J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-25315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453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-2398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2999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-4414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2945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-1175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50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-13409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-48651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-21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-5708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-13529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-978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4815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-28700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-2711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349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11550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-7616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172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287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3409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2026-07-29T14:36:58Z</dcterms:modified>
  <cp:lastModifiedBy>Ankit Gupta</cp:lastModifiedBy>
</cp:coreProperties>
</file>