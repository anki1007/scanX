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Wide'!$BB$11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Wide'!$BC$11</f>
            </numRef>
          </val>
        </ser>
        <ser>
          <idx val="54"/>
          <order val="54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Wide'!$BD$11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Wide'!$BC$14</f>
            </numRef>
          </val>
        </ser>
        <ser>
          <idx val="109"/>
          <order val="109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Wide'!$AW$17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Wide'!$AY$17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Wide'!$AZ$17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Wide'!$BA$17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Wide'!$BB$17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Wide'!$BC$17</f>
            </numRef>
          </val>
        </ser>
        <ser>
          <idx val="164"/>
          <order val="164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Wide'!$BD$17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Wide'!$BC$2</f>
            </numRef>
          </val>
        </ser>
        <ser>
          <idx val="219"/>
          <order val="21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Wide'!$AS$10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Wide'!$AU$10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Wide'!$AV$10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Wide'!$AW$10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Wide'!$AX$10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Wide'!$AY$10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Wide'!$AZ$10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Wide'!$BA$10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Wide'!$BB$10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Wide'!$BC$10</f>
            </numRef>
          </val>
        </ser>
        <ser>
          <idx val="274"/>
          <order val="27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Wide'!$BD$10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Wide'!$BB$8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Wide'!$BC$8</f>
            </numRef>
          </val>
        </ser>
        <ser>
          <idx val="329"/>
          <order val="329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Wide'!$BD$8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Wide'!$AO$22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Wide'!$AQ$22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Wide'!$AR$22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Wide'!$AS$22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Wide'!$AT$22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Wide'!$AU$22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Wide'!$AV$22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Wide'!$AW$22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Wide'!$AX$22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Wide'!$AY$22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Wide'!$AZ$22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Wide'!$BA$22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Wide'!$BB$22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Wide'!$BC$22</f>
            </numRef>
          </val>
        </ser>
        <ser>
          <idx val="384"/>
          <order val="384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Wide'!$BD$22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Wide'!$AM$13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Wide'!$AN$13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Wide'!$AO$13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Wide'!$AP$13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Wide'!$AQ$13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Wide'!$AR$13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Wide'!$AS$13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Wide'!$AT$13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Wide'!$AU$13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Wide'!$AV$13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Wide'!$AW$13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Wide'!$AX$13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Wide'!$AY$13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Wide'!$AZ$13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Wide'!$BA$13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Wide'!$BB$13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Wide'!$BC$13</f>
            </numRef>
          </val>
        </ser>
        <ser>
          <idx val="439"/>
          <order val="439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'Monthly'!$AB$26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'Monthly'!$AC$26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E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57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30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42" t="inlineStr">
        <is>
          <t>Net Investment
Sep 16-30, 2026</t>
        </is>
      </c>
      <c r="BD1" s="42" t="inlineStr">
        <is>
          <t>Net Investment
Oct 01-15, 2026</t>
        </is>
      </c>
      <c r="BE1" s="8" t="inlineStr">
        <is>
          <t>Sector Trend</t>
        </is>
      </c>
      <c r="BF1" s="11" t="inlineStr">
        <is>
          <t>30 Days
Flow</t>
        </is>
      </c>
      <c r="BG1" s="11" t="inlineStr">
        <is>
          <t>45 Days
Flow</t>
        </is>
      </c>
      <c r="BH1" s="11" t="inlineStr">
        <is>
          <t>60 Days
Flow</t>
        </is>
      </c>
      <c r="BI1" s="11" t="inlineStr">
        <is>
          <t>75 Days
Flow</t>
        </is>
      </c>
      <c r="BJ1" s="11" t="inlineStr">
        <is>
          <t>90 Days
Flow</t>
        </is>
      </c>
      <c r="BK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  <c r="BD2" t="n">
        <v>-6533</v>
      </c>
      <c r="BE2" t="n"/>
      <c r="BF2" s="38">
        <f>SUM(Table22[[#This Row],[Net Investment
April 16-30, 2026]:[Net Investment
May 01-15, 2026]])</f>
        <v/>
      </c>
      <c r="BG2" s="38">
        <f>SUM(Table22[[#This Row],[Net Investment
April 01-15, 2026]:[Net Investment
May 01-15, 2026]])</f>
        <v/>
      </c>
      <c r="BH2" s="38">
        <f>SUM(Table22[[#This Row],[Net Investment
March 16-31, 2026]:[Net Investment
May 01-15, 2026]])</f>
        <v/>
      </c>
      <c r="BI2" s="38">
        <f>SUM(Table22[[#This Row],[Net Investment
March 01-15, 2026]:[Net Investment
May 01-15, 2026]])</f>
        <v/>
      </c>
      <c r="BJ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  <c r="BD3" t="n">
        <v>-3886</v>
      </c>
      <c r="BF3" s="38">
        <f>SUM(Table22[[#This Row],[Net Investment
April 16-30, 2026]:[Net Investment
May 01-15, 2026]])</f>
        <v/>
      </c>
      <c r="BG3" s="38">
        <f>SUM(Table22[[#This Row],[Net Investment
April 01-15, 2026]:[Net Investment
May 01-15, 2026]])</f>
        <v/>
      </c>
      <c r="BH3" s="38">
        <f>SUM(Table22[[#This Row],[Net Investment
March 16-31, 2026]:[Net Investment
May 01-15, 2026]])</f>
        <v/>
      </c>
      <c r="BI3" s="38">
        <f>SUM(Table22[[#This Row],[Net Investment
March 01-15, 2026]:[Net Investment
May 01-15, 2026]])</f>
        <v/>
      </c>
      <c r="BJ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  <c r="BD4" t="n">
        <v>41</v>
      </c>
      <c r="BF4" s="38">
        <f>SUM(Table22[[#This Row],[Net Investment
April 16-30, 2026]:[Net Investment
May 01-15, 2026]])</f>
        <v/>
      </c>
      <c r="BG4" s="38">
        <f>SUM(Table22[[#This Row],[Net Investment
April 01-15, 2026]:[Net Investment
May 01-15, 2026]])</f>
        <v/>
      </c>
      <c r="BH4" s="38">
        <f>SUM(Table22[[#This Row],[Net Investment
March 16-31, 2026]:[Net Investment
May 01-15, 2026]])</f>
        <v/>
      </c>
      <c r="BI4" s="38">
        <f>SUM(Table22[[#This Row],[Net Investment
March 01-15, 2026]:[Net Investment
May 01-15, 2026]])</f>
        <v/>
      </c>
      <c r="BJ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  <c r="BD5" t="n">
        <v>-1224</v>
      </c>
      <c r="BF5" s="38">
        <f>SUM(Table22[[#This Row],[Net Investment
April 16-30, 2026]:[Net Investment
May 01-15, 2026]])</f>
        <v/>
      </c>
      <c r="BG5" s="38">
        <f>SUM(Table22[[#This Row],[Net Investment
April 01-15, 2026]:[Net Investment
May 01-15, 2026]])</f>
        <v/>
      </c>
      <c r="BH5" s="38">
        <f>SUM(Table22[[#This Row],[Net Investment
March 16-31, 2026]:[Net Investment
May 01-15, 2026]])</f>
        <v/>
      </c>
      <c r="BI5" s="38">
        <f>SUM(Table22[[#This Row],[Net Investment
March 01-15, 2026]:[Net Investment
May 01-15, 2026]])</f>
        <v/>
      </c>
      <c r="BJ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  <c r="BD6" t="n">
        <v>-564</v>
      </c>
      <c r="BF6" s="38">
        <f>SUM(Table22[[#This Row],[Net Investment
April 16-30, 2026]:[Net Investment
May 01-15, 2026]])</f>
        <v/>
      </c>
      <c r="BG6" s="38">
        <f>SUM(Table22[[#This Row],[Net Investment
April 01-15, 2026]:[Net Investment
May 01-15, 2026]])</f>
        <v/>
      </c>
      <c r="BH6" s="38">
        <f>SUM(Table22[[#This Row],[Net Investment
March 16-31, 2026]:[Net Investment
May 01-15, 2026]])</f>
        <v/>
      </c>
      <c r="BI6" s="38">
        <f>SUM(Table22[[#This Row],[Net Investment
March 01-15, 2026]:[Net Investment
May 01-15, 2026]])</f>
        <v/>
      </c>
      <c r="BJ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  <c r="BD7" t="n">
        <v>-586</v>
      </c>
      <c r="BF7" s="38">
        <f>SUM(Table22[[#This Row],[Net Investment
April 16-30, 2026]:[Net Investment
May 01-15, 2026]])</f>
        <v/>
      </c>
      <c r="BG7" s="38">
        <f>SUM(Table22[[#This Row],[Net Investment
April 01-15, 2026]:[Net Investment
May 01-15, 2026]])</f>
        <v/>
      </c>
      <c r="BH7" s="38">
        <f>SUM(Table22[[#This Row],[Net Investment
March 16-31, 2026]:[Net Investment
May 01-15, 2026]])</f>
        <v/>
      </c>
      <c r="BI7" s="38">
        <f>SUM(Table22[[#This Row],[Net Investment
March 01-15, 2026]:[Net Investment
May 01-15, 2026]])</f>
        <v/>
      </c>
      <c r="BJ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  <c r="BD8" t="n">
        <v>-1931</v>
      </c>
      <c r="BF8" s="38">
        <f>SUM(Table22[[#This Row],[Net Investment
April 16-30, 2026]:[Net Investment
May 01-15, 2026]])</f>
        <v/>
      </c>
      <c r="BG8" s="38">
        <f>SUM(Table22[[#This Row],[Net Investment
April 01-15, 2026]:[Net Investment
May 01-15, 2026]])</f>
        <v/>
      </c>
      <c r="BH8" s="38">
        <f>SUM(Table22[[#This Row],[Net Investment
March 16-31, 2026]:[Net Investment
May 01-15, 2026]])</f>
        <v/>
      </c>
      <c r="BI8" s="38">
        <f>SUM(Table22[[#This Row],[Net Investment
March 01-15, 2026]:[Net Investment
May 01-15, 2026]])</f>
        <v/>
      </c>
      <c r="BJ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  <c r="BD9" t="n">
        <v>43</v>
      </c>
      <c r="BF9" s="38">
        <f>SUM(Table22[[#This Row],[Net Investment
April 16-30, 2026]:[Net Investment
May 01-15, 2026]])</f>
        <v/>
      </c>
      <c r="BG9" s="38">
        <f>SUM(Table22[[#This Row],[Net Investment
April 01-15, 2026]:[Net Investment
May 01-15, 2026]])</f>
        <v/>
      </c>
      <c r="BH9" s="38">
        <f>SUM(Table22[[#This Row],[Net Investment
March 16-31, 2026]:[Net Investment
May 01-15, 2026]])</f>
        <v/>
      </c>
      <c r="BI9" s="38">
        <f>SUM(Table22[[#This Row],[Net Investment
March 01-15, 2026]:[Net Investment
May 01-15, 2026]])</f>
        <v/>
      </c>
      <c r="BJ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  <c r="BD10" t="n">
        <v>-8172</v>
      </c>
      <c r="BF10" s="38">
        <f>SUM(Table22[[#This Row],[Net Investment
April 16-30, 2026]:[Net Investment
May 01-15, 2026]])</f>
        <v/>
      </c>
      <c r="BG10" s="38">
        <f>SUM(Table22[[#This Row],[Net Investment
April 01-15, 2026]:[Net Investment
May 01-15, 2026]])</f>
        <v/>
      </c>
      <c r="BH10" s="38">
        <f>SUM(Table22[[#This Row],[Net Investment
March 16-31, 2026]:[Net Investment
May 01-15, 2026]])</f>
        <v/>
      </c>
      <c r="BI10" s="38">
        <f>SUM(Table22[[#This Row],[Net Investment
March 01-15, 2026]:[Net Investment
May 01-15, 2026]])</f>
        <v/>
      </c>
      <c r="BJ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  <c r="BD11" t="n">
        <v>-8634</v>
      </c>
      <c r="BF11" s="38">
        <f>SUM(Table22[[#This Row],[Net Investment
April 16-30, 2026]:[Net Investment
May 01-15, 2026]])</f>
        <v/>
      </c>
      <c r="BG11" s="38">
        <f>SUM(Table22[[#This Row],[Net Investment
April 01-15, 2026]:[Net Investment
May 01-15, 2026]])</f>
        <v/>
      </c>
      <c r="BH11" s="38">
        <f>SUM(Table22[[#This Row],[Net Investment
March 16-31, 2026]:[Net Investment
May 01-15, 2026]])</f>
        <v/>
      </c>
      <c r="BI11" s="38">
        <f>SUM(Table22[[#This Row],[Net Investment
March 01-15, 2026]:[Net Investment
May 01-15, 2026]])</f>
        <v/>
      </c>
      <c r="BJ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  <c r="BD12" t="n">
        <v>-50</v>
      </c>
      <c r="BF12" s="38">
        <f>SUM(Table22[[#This Row],[Net Investment
April 16-30, 2026]:[Net Investment
May 01-15, 2026]])</f>
        <v/>
      </c>
      <c r="BG12" s="38">
        <f>SUM(Table22[[#This Row],[Net Investment
April 01-15, 2026]:[Net Investment
May 01-15, 2026]])</f>
        <v/>
      </c>
      <c r="BH12" s="38">
        <f>SUM(Table22[[#This Row],[Net Investment
March 16-31, 2026]:[Net Investment
May 01-15, 2026]])</f>
        <v/>
      </c>
      <c r="BI12" s="38">
        <f>SUM(Table22[[#This Row],[Net Investment
March 01-15, 2026]:[Net Investment
May 01-15, 2026]])</f>
        <v/>
      </c>
      <c r="BJ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  <c r="BD13" t="n">
        <v>-5497</v>
      </c>
      <c r="BF13" s="38">
        <f>SUM(Table22[[#This Row],[Net Investment
April 16-30, 2026]:[Net Investment
May 01-15, 2026]])</f>
        <v/>
      </c>
      <c r="BG13" s="38">
        <f>SUM(Table22[[#This Row],[Net Investment
April 01-15, 2026]:[Net Investment
May 01-15, 2026]])</f>
        <v/>
      </c>
      <c r="BH13" s="38">
        <f>SUM(Table22[[#This Row],[Net Investment
March 16-31, 2026]:[Net Investment
May 01-15, 2026]])</f>
        <v/>
      </c>
      <c r="BI13" s="38">
        <f>SUM(Table22[[#This Row],[Net Investment
March 01-15, 2026]:[Net Investment
May 01-15, 2026]])</f>
        <v/>
      </c>
      <c r="BJ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  <c r="BD14" t="n">
        <v>2599</v>
      </c>
      <c r="BF14" s="38">
        <f>SUM(Table22[[#This Row],[Net Investment
April 16-30, 2026]:[Net Investment
May 01-15, 2026]])</f>
        <v/>
      </c>
      <c r="BG14" s="38">
        <f>SUM(Table22[[#This Row],[Net Investment
April 01-15, 2026]:[Net Investment
May 01-15, 2026]])</f>
        <v/>
      </c>
      <c r="BH14" s="38">
        <f>SUM(Table22[[#This Row],[Net Investment
March 16-31, 2026]:[Net Investment
May 01-15, 2026]])</f>
        <v/>
      </c>
      <c r="BI14" s="38">
        <f>SUM(Table22[[#This Row],[Net Investment
March 01-15, 2026]:[Net Investment
May 01-15, 2026]])</f>
        <v/>
      </c>
      <c r="BJ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  <c r="BD15" t="n">
        <v>252</v>
      </c>
      <c r="BF15" s="38">
        <f>SUM(Table22[[#This Row],[Net Investment
April 16-30, 2026]:[Net Investment
May 01-15, 2026]])</f>
        <v/>
      </c>
      <c r="BG15" s="38">
        <f>SUM(Table22[[#This Row],[Net Investment
April 01-15, 2026]:[Net Investment
May 01-15, 2026]])</f>
        <v/>
      </c>
      <c r="BH15" s="38">
        <f>SUM(Table22[[#This Row],[Net Investment
March 16-31, 2026]:[Net Investment
May 01-15, 2026]])</f>
        <v/>
      </c>
      <c r="BI15" s="38">
        <f>SUM(Table22[[#This Row],[Net Investment
March 01-15, 2026]:[Net Investment
May 01-15, 2026]])</f>
        <v/>
      </c>
      <c r="BJ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  <c r="BD16" t="n">
        <v>-3693</v>
      </c>
      <c r="BF16" s="38">
        <f>SUM(Table22[[#This Row],[Net Investment
April 16-30, 2026]:[Net Investment
May 01-15, 2026]])</f>
        <v/>
      </c>
      <c r="BG16" s="38">
        <f>SUM(Table22[[#This Row],[Net Investment
April 01-15, 2026]:[Net Investment
May 01-15, 2026]])</f>
        <v/>
      </c>
      <c r="BH16" s="38">
        <f>SUM(Table22[[#This Row],[Net Investment
March 16-31, 2026]:[Net Investment
May 01-15, 2026]])</f>
        <v/>
      </c>
      <c r="BI16" s="38">
        <f>SUM(Table22[[#This Row],[Net Investment
March 01-15, 2026]:[Net Investment
May 01-15, 2026]])</f>
        <v/>
      </c>
      <c r="BJ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  <c r="BD17" t="n">
        <v>-3680</v>
      </c>
      <c r="BF17" s="38">
        <f>SUM(Table22[[#This Row],[Net Investment
April 16-30, 2026]:[Net Investment
May 01-15, 2026]])</f>
        <v/>
      </c>
      <c r="BG17" s="38">
        <f>SUM(Table22[[#This Row],[Net Investment
April 01-15, 2026]:[Net Investment
May 01-15, 2026]])</f>
        <v/>
      </c>
      <c r="BH17" s="38">
        <f>SUM(Table22[[#This Row],[Net Investment
March 16-31, 2026]:[Net Investment
May 01-15, 2026]])</f>
        <v/>
      </c>
      <c r="BI17" s="38">
        <f>SUM(Table22[[#This Row],[Net Investment
March 01-15, 2026]:[Net Investment
May 01-15, 2026]])</f>
        <v/>
      </c>
      <c r="BJ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  <c r="BD18" t="n">
        <v>-1732</v>
      </c>
      <c r="BF18" s="38">
        <f>SUM(Table22[[#This Row],[Net Investment
April 16-30, 2026]:[Net Investment
May 01-15, 2026]])</f>
        <v/>
      </c>
      <c r="BG18" s="38">
        <f>SUM(Table22[[#This Row],[Net Investment
April 01-15, 2026]:[Net Investment
May 01-15, 2026]])</f>
        <v/>
      </c>
      <c r="BH18" s="38">
        <f>SUM(Table22[[#This Row],[Net Investment
March 16-31, 2026]:[Net Investment
May 01-15, 2026]])</f>
        <v/>
      </c>
      <c r="BI18" s="38">
        <f>SUM(Table22[[#This Row],[Net Investment
March 01-15, 2026]:[Net Investment
May 01-15, 2026]])</f>
        <v/>
      </c>
      <c r="BJ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  <c r="BD19" t="n">
        <v>-578</v>
      </c>
      <c r="BF19" s="38">
        <f>SUM(Table22[[#This Row],[Net Investment
April 16-30, 2026]:[Net Investment
May 01-15, 2026]])</f>
        <v/>
      </c>
      <c r="BG19" s="38">
        <f>SUM(Table22[[#This Row],[Net Investment
April 01-15, 2026]:[Net Investment
May 01-15, 2026]])</f>
        <v/>
      </c>
      <c r="BH19" s="38">
        <f>SUM(Table22[[#This Row],[Net Investment
March 16-31, 2026]:[Net Investment
May 01-15, 2026]])</f>
        <v/>
      </c>
      <c r="BI19" s="38">
        <f>SUM(Table22[[#This Row],[Net Investment
March 01-15, 2026]:[Net Investment
May 01-15, 2026]])</f>
        <v/>
      </c>
      <c r="BJ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  <c r="BD20" t="n">
        <v>262</v>
      </c>
      <c r="BF20" s="38">
        <f>SUM(Table22[[#This Row],[Net Investment
April 16-30, 2026]:[Net Investment
May 01-15, 2026]])</f>
        <v/>
      </c>
      <c r="BG20" s="38">
        <f>SUM(Table22[[#This Row],[Net Investment
April 01-15, 2026]:[Net Investment
May 01-15, 2026]])</f>
        <v/>
      </c>
      <c r="BH20" s="38">
        <f>SUM(Table22[[#This Row],[Net Investment
March 16-31, 2026]:[Net Investment
May 01-15, 2026]])</f>
        <v/>
      </c>
      <c r="BI20" s="38">
        <f>SUM(Table22[[#This Row],[Net Investment
March 01-15, 2026]:[Net Investment
May 01-15, 2026]])</f>
        <v/>
      </c>
      <c r="BJ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C21" t="n">
        <v>-2423</v>
      </c>
      <c r="BD21" t="n">
        <v>-3928</v>
      </c>
      <c r="BF21" s="38">
        <f>SUM(Table22[[#This Row],[Net Investment
April 16-30, 2026]:[Net Investment
May 01-15, 2026]])</f>
        <v/>
      </c>
      <c r="BG21" s="38">
        <f>SUM(Table22[[#This Row],[Net Investment
April 01-15, 2026]:[Net Investment
May 01-15, 2026]])</f>
        <v/>
      </c>
      <c r="BH21" s="38">
        <f>SUM(Table22[[#This Row],[Net Investment
March 16-31, 2026]:[Net Investment
May 01-15, 2026]])</f>
        <v/>
      </c>
      <c r="BI21" s="38">
        <f>SUM(Table22[[#This Row],[Net Investment
March 01-15, 2026]:[Net Investment
May 01-15, 2026]])</f>
        <v/>
      </c>
      <c r="BJ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C22" t="n">
        <v>636</v>
      </c>
      <c r="BD22" t="n">
        <v>-59</v>
      </c>
      <c r="BF22" s="38">
        <f>SUM(Table22[[#This Row],[Net Investment
April 16-30, 2026]:[Net Investment
May 01-15, 2026]])</f>
        <v/>
      </c>
      <c r="BG22" s="38">
        <f>SUM(Table22[[#This Row],[Net Investment
April 01-15, 2026]:[Net Investment
May 01-15, 2026]])</f>
        <v/>
      </c>
      <c r="BH22" s="38">
        <f>SUM(Table22[[#This Row],[Net Investment
March 16-31, 2026]:[Net Investment
May 01-15, 2026]])</f>
        <v/>
      </c>
      <c r="BI22" s="38">
        <f>SUM(Table22[[#This Row],[Net Investment
March 01-15, 2026]:[Net Investment
May 01-15, 2026]])</f>
        <v/>
      </c>
      <c r="BJ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C23" t="n">
        <v>-33</v>
      </c>
      <c r="BD23" t="n">
        <v>-34</v>
      </c>
      <c r="BF23" s="38">
        <f>SUM(Table22[[#This Row],[Net Investment
April 16-30, 2026]:[Net Investment
May 01-15, 2026]])</f>
        <v/>
      </c>
      <c r="BG23" s="38">
        <f>SUM(Table22[[#This Row],[Net Investment
April 01-15, 2026]:[Net Investment
May 01-15, 2026]])</f>
        <v/>
      </c>
      <c r="BH23" s="38">
        <f>SUM(Table22[[#This Row],[Net Investment
March 16-31, 2026]:[Net Investment
May 01-15, 2026]])</f>
        <v/>
      </c>
      <c r="BI23" s="38">
        <f>SUM(Table22[[#This Row],[Net Investment
March 01-15, 2026]:[Net Investment
May 01-15, 2026]])</f>
        <v/>
      </c>
      <c r="BJ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F24" s="38">
        <f>SUM(Table22[[#This Row],[Net Investment
April 16-30, 2026]:[Net Investment
May 01-15, 2026]])</f>
        <v/>
      </c>
      <c r="BG24" s="38">
        <f>SUM(Table22[[#This Row],[Net Investment
April 01-15, 2026]:[Net Investment
May 01-15, 2026]])</f>
        <v/>
      </c>
      <c r="BH24" s="38">
        <f>SUM(Table22[[#This Row],[Net Investment
March 16-31, 2026]:[Net Investment
May 01-15, 2026]])</f>
        <v/>
      </c>
      <c r="BI24" s="38">
        <f>SUM(Table22[[#This Row],[Net Investment
March 01-15, 2026]:[Net Investment
May 01-15, 2026]])</f>
        <v/>
      </c>
      <c r="BJ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  <c r="BD25" t="n">
        <v>-372</v>
      </c>
      <c r="BF25" s="38">
        <f>SUM(Table22[[#This Row],[Net Investment
April 16-30, 2026]:[Net Investment
May 01-15, 2026]])</f>
        <v/>
      </c>
      <c r="BG25" s="38">
        <f>SUM(Table22[[#This Row],[Net Investment
April 01-15, 2026]:[Net Investment
May 01-15, 2026]])</f>
        <v/>
      </c>
      <c r="BH25" s="38">
        <f>SUM(Table22[[#This Row],[Net Investment
March 16-31, 2026]:[Net Investment
May 01-15, 2026]])</f>
        <v/>
      </c>
      <c r="BI25" s="38">
        <f>SUM(Table22[[#This Row],[Net Investment
March 01-15, 2026]:[Net Investment
May 01-15, 2026]])</f>
        <v/>
      </c>
      <c r="BJ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F26" s="38">
        <f>SUM(Table22[[#This Row],[Net Investment
April 16-30, 2026]:[Net Investment
May 01-15, 2026]])</f>
        <v/>
      </c>
      <c r="BG26" s="38">
        <f>SUM(Table22[[#This Row],[Net Investment
April 01-15, 2026]:[Net Investment
May 01-15, 2026]])</f>
        <v/>
      </c>
      <c r="BH26" s="38">
        <f>SUM(Table22[[#This Row],[Net Investment
March 16-31, 2026]:[Net Investment
May 01-15, 2026]])</f>
        <v/>
      </c>
      <c r="BI26" s="38">
        <f>SUM(Table22[[#This Row],[Net Investment
March 01-15, 2026]:[Net Investment
May 01-15, 2026]])</f>
        <v/>
      </c>
      <c r="BJ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1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  <row r="1271">
      <c r="A1271" s="43" t="n">
        <v>46295</v>
      </c>
      <c r="B1271" t="inlineStr">
        <is>
          <t>Sep 16-30, 2026</t>
        </is>
      </c>
      <c r="C1271" t="inlineStr">
        <is>
          <t>Automobile and Auto Components</t>
        </is>
      </c>
      <c r="D1271" t="n">
        <v>-3542</v>
      </c>
      <c r="E1271" t="n">
        <v>0</v>
      </c>
      <c r="F1271" t="n">
        <v>-220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-3762</v>
      </c>
    </row>
    <row r="1272">
      <c r="A1272" s="43" t="n">
        <v>46295</v>
      </c>
      <c r="B1272" t="inlineStr">
        <is>
          <t>Sep 16-30, 2026</t>
        </is>
      </c>
      <c r="C1272" t="inlineStr">
        <is>
          <t>Capital Goods</t>
        </is>
      </c>
      <c r="D1272" t="n">
        <v>-1353</v>
      </c>
      <c r="E1272" t="n">
        <v>-33</v>
      </c>
      <c r="F1272" t="n">
        <v>-2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-1388</v>
      </c>
    </row>
    <row r="1273">
      <c r="A1273" s="43" t="n">
        <v>46295</v>
      </c>
      <c r="B1273" t="inlineStr">
        <is>
          <t>Sep 16-30, 2026</t>
        </is>
      </c>
      <c r="C1273" t="inlineStr">
        <is>
          <t>Chemicals</t>
        </is>
      </c>
      <c r="D1273" t="n">
        <v>-133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-133</v>
      </c>
    </row>
    <row r="1274">
      <c r="A1274" s="43" t="n">
        <v>46295</v>
      </c>
      <c r="B1274" t="inlineStr">
        <is>
          <t>Sep 16-30, 2026</t>
        </is>
      </c>
      <c r="C1274" t="inlineStr">
        <is>
          <t>Construction</t>
        </is>
      </c>
      <c r="D1274" t="n">
        <v>381</v>
      </c>
      <c r="E1274" t="n">
        <v>0</v>
      </c>
      <c r="F1274" t="n">
        <v>0</v>
      </c>
      <c r="G1274" t="n">
        <v>0</v>
      </c>
      <c r="H1274" t="n">
        <v>-1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380</v>
      </c>
    </row>
    <row r="1275">
      <c r="A1275" s="43" t="n">
        <v>46295</v>
      </c>
      <c r="B1275" t="inlineStr">
        <is>
          <t>Sep 16-30, 2026</t>
        </is>
      </c>
      <c r="C1275" t="inlineStr">
        <is>
          <t>Construction Materials</t>
        </is>
      </c>
      <c r="D1275" t="n">
        <v>-847</v>
      </c>
      <c r="E1275" t="n">
        <v>0</v>
      </c>
      <c r="F1275" t="n">
        <v>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-847</v>
      </c>
    </row>
    <row r="1276">
      <c r="A1276" s="43" t="n">
        <v>46295</v>
      </c>
      <c r="B1276" t="inlineStr">
        <is>
          <t>Sep 16-30, 2026</t>
        </is>
      </c>
      <c r="C1276" t="inlineStr">
        <is>
          <t>Consumer Durables</t>
        </is>
      </c>
      <c r="D1276" t="n">
        <v>-1508</v>
      </c>
      <c r="E1276" t="n">
        <v>0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-1508</v>
      </c>
    </row>
    <row r="1277">
      <c r="A1277" s="43" t="n">
        <v>46295</v>
      </c>
      <c r="B1277" t="inlineStr">
        <is>
          <t>Sep 16-30, 2026</t>
        </is>
      </c>
      <c r="C1277" t="inlineStr">
        <is>
          <t>Consumer Services</t>
        </is>
      </c>
      <c r="D1277" t="n">
        <v>1911</v>
      </c>
      <c r="E1277" t="n">
        <v>0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1911</v>
      </c>
    </row>
    <row r="1278">
      <c r="A1278" s="43" t="n">
        <v>46295</v>
      </c>
      <c r="B1278" t="inlineStr">
        <is>
          <t>Sep 16-30, 2026</t>
        </is>
      </c>
      <c r="C1278" t="inlineStr">
        <is>
          <t>Diversified</t>
        </is>
      </c>
      <c r="D1278" t="n">
        <v>115</v>
      </c>
      <c r="E1278" t="n">
        <v>-12</v>
      </c>
      <c r="F1278" t="n">
        <v>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103</v>
      </c>
    </row>
    <row r="1279">
      <c r="A1279" s="43" t="n">
        <v>46295</v>
      </c>
      <c r="B1279" t="inlineStr">
        <is>
          <t>Sep 16-30, 2026</t>
        </is>
      </c>
      <c r="C1279" t="inlineStr">
        <is>
          <t>Fast Moving Consumer Goods</t>
        </is>
      </c>
      <c r="D1279" t="n">
        <v>-972</v>
      </c>
      <c r="E1279" t="n">
        <v>0</v>
      </c>
      <c r="F1279" t="n">
        <v>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-972</v>
      </c>
    </row>
    <row r="1280">
      <c r="A1280" s="43" t="n">
        <v>46295</v>
      </c>
      <c r="B1280" t="inlineStr">
        <is>
          <t>Sep 16-30, 2026</t>
        </is>
      </c>
      <c r="C1280" t="inlineStr">
        <is>
          <t>Financial Services</t>
        </is>
      </c>
      <c r="D1280" t="n">
        <v>-6943</v>
      </c>
      <c r="E1280" t="n">
        <v>-523</v>
      </c>
      <c r="F1280" t="n">
        <v>-652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-2</v>
      </c>
      <c r="N1280" t="n">
        <v>0</v>
      </c>
      <c r="O1280" t="n">
        <v>-8120</v>
      </c>
    </row>
    <row r="1281">
      <c r="A1281" s="43" t="n">
        <v>46295</v>
      </c>
      <c r="B1281" t="inlineStr">
        <is>
          <t>Sep 16-30, 2026</t>
        </is>
      </c>
      <c r="C1281" t="inlineStr">
        <is>
          <t>Forest Materials</t>
        </is>
      </c>
      <c r="D1281" t="n">
        <v>6</v>
      </c>
      <c r="E1281" t="n">
        <v>14</v>
      </c>
      <c r="F1281" t="n">
        <v>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20</v>
      </c>
    </row>
    <row r="1282">
      <c r="A1282" s="43" t="n">
        <v>46295</v>
      </c>
      <c r="B1282" t="inlineStr">
        <is>
          <t>Sep 16-30, 2026</t>
        </is>
      </c>
      <c r="C1282" t="inlineStr">
        <is>
          <t>Healthcare</t>
        </is>
      </c>
      <c r="D1282" t="n">
        <v>3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3</v>
      </c>
    </row>
    <row r="1283">
      <c r="A1283" s="43" t="n">
        <v>46295</v>
      </c>
      <c r="B1283" t="inlineStr">
        <is>
          <t>Sep 16-30, 2026</t>
        </is>
      </c>
      <c r="C1283" t="inlineStr">
        <is>
          <t>Information Technology</t>
        </is>
      </c>
      <c r="D1283" t="n">
        <v>-38</v>
      </c>
      <c r="E1283" t="n">
        <v>0</v>
      </c>
      <c r="F1283" t="n">
        <v>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-38</v>
      </c>
    </row>
    <row r="1284">
      <c r="A1284" s="43" t="n">
        <v>46295</v>
      </c>
      <c r="B1284" t="inlineStr">
        <is>
          <t>Sep 16-30, 2026</t>
        </is>
      </c>
      <c r="C1284" t="inlineStr">
        <is>
          <t>Media, Entertainment &amp; Publication</t>
        </is>
      </c>
      <c r="D1284" t="n">
        <v>31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31</v>
      </c>
    </row>
    <row r="1285">
      <c r="A1285" s="43" t="n">
        <v>46295</v>
      </c>
      <c r="B1285" t="inlineStr">
        <is>
          <t>Sep 16-30, 2026</t>
        </is>
      </c>
      <c r="C1285" t="inlineStr">
        <is>
          <t>Metals &amp; Mining</t>
        </is>
      </c>
      <c r="D1285" t="n">
        <v>-2322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-2322</v>
      </c>
    </row>
    <row r="1286">
      <c r="A1286" s="43" t="n">
        <v>46295</v>
      </c>
      <c r="B1286" t="inlineStr">
        <is>
          <t>Sep 16-30, 2026</t>
        </is>
      </c>
      <c r="C1286" t="inlineStr">
        <is>
          <t>Oil, Gas &amp; Consumable Fuels</t>
        </is>
      </c>
      <c r="D1286" t="n">
        <v>-4469</v>
      </c>
      <c r="E1286" t="n">
        <v>0</v>
      </c>
      <c r="F1286" t="n">
        <v>0</v>
      </c>
      <c r="G1286" t="n">
        <v>0</v>
      </c>
      <c r="H1286" t="n">
        <v>-4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-4473</v>
      </c>
    </row>
    <row r="1287">
      <c r="A1287" s="43" t="n">
        <v>46295</v>
      </c>
      <c r="B1287" t="inlineStr">
        <is>
          <t>Sep 16-30, 2026</t>
        </is>
      </c>
      <c r="C1287" t="inlineStr">
        <is>
          <t>Others</t>
        </is>
      </c>
      <c r="D1287" t="n">
        <v>-1091</v>
      </c>
      <c r="E1287" t="n">
        <v>-3180</v>
      </c>
      <c r="F1287" t="n">
        <v>-2036</v>
      </c>
      <c r="G1287" t="n">
        <v>0</v>
      </c>
      <c r="H1287" t="n">
        <v>461</v>
      </c>
      <c r="I1287" t="n">
        <v>198</v>
      </c>
      <c r="J1287" t="n">
        <v>-106</v>
      </c>
      <c r="K1287" t="n">
        <v>102</v>
      </c>
      <c r="L1287" t="n">
        <v>0</v>
      </c>
      <c r="M1287" t="n">
        <v>-84</v>
      </c>
      <c r="N1287" t="n">
        <v>0</v>
      </c>
      <c r="O1287" t="n">
        <v>-5736</v>
      </c>
    </row>
    <row r="1288">
      <c r="A1288" s="43" t="n">
        <v>46295</v>
      </c>
      <c r="B1288" t="inlineStr">
        <is>
          <t>Sep 16-30, 2026</t>
        </is>
      </c>
      <c r="C1288" t="inlineStr">
        <is>
          <t>Power</t>
        </is>
      </c>
      <c r="D1288" t="n">
        <v>-570</v>
      </c>
      <c r="E1288" t="n">
        <v>121</v>
      </c>
      <c r="F1288" t="n">
        <v>50</v>
      </c>
      <c r="G1288" t="n">
        <v>0</v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-397</v>
      </c>
    </row>
    <row r="1289">
      <c r="A1289" s="43" t="n">
        <v>46295</v>
      </c>
      <c r="B1289" t="inlineStr">
        <is>
          <t>Sep 16-30, 2026</t>
        </is>
      </c>
      <c r="C1289" t="inlineStr">
        <is>
          <t>Realty</t>
        </is>
      </c>
      <c r="D1289" t="n">
        <v>19</v>
      </c>
      <c r="E1289" t="n">
        <v>0</v>
      </c>
      <c r="F1289" t="n">
        <v>0</v>
      </c>
      <c r="G1289" t="n">
        <v>0</v>
      </c>
      <c r="H1289" t="n">
        <v>-107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-88</v>
      </c>
    </row>
    <row r="1290">
      <c r="A1290" s="43" t="n">
        <v>46295</v>
      </c>
      <c r="B1290" t="inlineStr">
        <is>
          <t>Sep 16-30, 2026</t>
        </is>
      </c>
      <c r="C1290" t="inlineStr">
        <is>
          <t>Services</t>
        </is>
      </c>
      <c r="D1290" t="n">
        <v>1397</v>
      </c>
      <c r="E1290" t="n">
        <v>-493</v>
      </c>
      <c r="F1290" t="n">
        <v>-1350</v>
      </c>
      <c r="G1290" t="n">
        <v>0</v>
      </c>
      <c r="H1290" t="n">
        <v>-8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-454</v>
      </c>
    </row>
    <row r="1291">
      <c r="A1291" s="43" t="n">
        <v>46295</v>
      </c>
      <c r="B1291" t="inlineStr">
        <is>
          <t>Sep 16-30, 2026</t>
        </is>
      </c>
      <c r="C1291" t="inlineStr">
        <is>
          <t>Sovereign</t>
        </is>
      </c>
      <c r="D1291" t="n">
        <v>0</v>
      </c>
      <c r="E1291" t="n">
        <v>-105</v>
      </c>
      <c r="F1291" t="n">
        <v>-297</v>
      </c>
      <c r="G1291" t="n">
        <v>-4347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-4749</v>
      </c>
    </row>
    <row r="1292">
      <c r="A1292" s="43" t="n">
        <v>46295</v>
      </c>
      <c r="B1292" t="inlineStr">
        <is>
          <t>Sep 16-30, 2026</t>
        </is>
      </c>
      <c r="C1292" t="inlineStr">
        <is>
          <t>Telecommunication</t>
        </is>
      </c>
      <c r="D1292" t="n">
        <v>-2423</v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-2423</v>
      </c>
    </row>
    <row r="1293">
      <c r="A1293" s="43" t="n">
        <v>46295</v>
      </c>
      <c r="B1293" t="inlineStr">
        <is>
          <t>Sep 16-30, 2026</t>
        </is>
      </c>
      <c r="C1293" t="inlineStr">
        <is>
          <t>Textiles</t>
        </is>
      </c>
      <c r="D1293" t="n">
        <v>636</v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636</v>
      </c>
    </row>
    <row r="1294">
      <c r="A1294" s="43" t="n">
        <v>46295</v>
      </c>
      <c r="B1294" t="inlineStr">
        <is>
          <t>Sep 16-30, 2026</t>
        </is>
      </c>
      <c r="C1294" t="inlineStr">
        <is>
          <t>Utilities</t>
        </is>
      </c>
      <c r="D1294" t="n">
        <v>-33</v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-33</v>
      </c>
    </row>
    <row r="1295">
      <c r="A1295" s="43" t="n">
        <v>46310</v>
      </c>
      <c r="B1295" t="inlineStr">
        <is>
          <t>Oct 01-15, 2026</t>
        </is>
      </c>
      <c r="C1295" t="inlineStr">
        <is>
          <t>Automobile and Auto Components</t>
        </is>
      </c>
      <c r="D1295" t="n">
        <v>-6533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-6533</v>
      </c>
    </row>
    <row r="1296">
      <c r="A1296" s="43" t="n">
        <v>46310</v>
      </c>
      <c r="B1296" t="inlineStr">
        <is>
          <t>Oct 01-15, 2026</t>
        </is>
      </c>
      <c r="C1296" t="inlineStr">
        <is>
          <t>Capital Goods</t>
        </is>
      </c>
      <c r="D1296" t="n">
        <v>-3886</v>
      </c>
      <c r="E1296" t="n">
        <v>0</v>
      </c>
      <c r="F1296" t="n">
        <v>0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-3886</v>
      </c>
    </row>
    <row r="1297">
      <c r="A1297" s="43" t="n">
        <v>46310</v>
      </c>
      <c r="B1297" t="inlineStr">
        <is>
          <t>Oct 01-15, 2026</t>
        </is>
      </c>
      <c r="C1297" t="inlineStr">
        <is>
          <t>Chemicals</t>
        </is>
      </c>
      <c r="D1297" t="n">
        <v>41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41</v>
      </c>
    </row>
    <row r="1298">
      <c r="A1298" s="43" t="n">
        <v>46310</v>
      </c>
      <c r="B1298" t="inlineStr">
        <is>
          <t>Oct 01-15, 2026</t>
        </is>
      </c>
      <c r="C1298" t="inlineStr">
        <is>
          <t>Construction</t>
        </is>
      </c>
      <c r="D1298" t="n">
        <v>-1224</v>
      </c>
      <c r="E1298" t="n">
        <v>0</v>
      </c>
      <c r="F1298" t="n">
        <v>0</v>
      </c>
      <c r="G1298" t="n">
        <v>0</v>
      </c>
      <c r="H1298" t="n">
        <v>-1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-1225</v>
      </c>
    </row>
    <row r="1299">
      <c r="A1299" s="43" t="n">
        <v>46310</v>
      </c>
      <c r="B1299" t="inlineStr">
        <is>
          <t>Oct 01-15, 2026</t>
        </is>
      </c>
      <c r="C1299" t="inlineStr">
        <is>
          <t>Construction Materials</t>
        </is>
      </c>
      <c r="D1299" t="n">
        <v>-564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-564</v>
      </c>
    </row>
    <row r="1300">
      <c r="A1300" s="43" t="n">
        <v>46310</v>
      </c>
      <c r="B1300" t="inlineStr">
        <is>
          <t>Oct 01-15, 2026</t>
        </is>
      </c>
      <c r="C1300" t="inlineStr">
        <is>
          <t>Consumer Durables</t>
        </is>
      </c>
      <c r="D1300" t="n">
        <v>-586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-586</v>
      </c>
    </row>
    <row r="1301">
      <c r="A1301" s="43" t="n">
        <v>46310</v>
      </c>
      <c r="B1301" t="inlineStr">
        <is>
          <t>Oct 01-15, 2026</t>
        </is>
      </c>
      <c r="C1301" t="inlineStr">
        <is>
          <t>Consumer Services</t>
        </is>
      </c>
      <c r="D1301" t="n">
        <v>-1931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-1931</v>
      </c>
    </row>
    <row r="1302">
      <c r="A1302" s="43" t="n">
        <v>46310</v>
      </c>
      <c r="B1302" t="inlineStr">
        <is>
          <t>Oct 01-15, 2026</t>
        </is>
      </c>
      <c r="C1302" t="inlineStr">
        <is>
          <t>Diversified</t>
        </is>
      </c>
      <c r="D1302" t="n">
        <v>43</v>
      </c>
      <c r="E1302" t="n">
        <v>0</v>
      </c>
      <c r="F1302" t="n">
        <v>0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43</v>
      </c>
    </row>
    <row r="1303">
      <c r="A1303" s="43" t="n">
        <v>46310</v>
      </c>
      <c r="B1303" t="inlineStr">
        <is>
          <t>Oct 01-15, 2026</t>
        </is>
      </c>
      <c r="C1303" t="inlineStr">
        <is>
          <t>Fast Moving Consumer Goods</t>
        </is>
      </c>
      <c r="D1303" t="n">
        <v>-8172</v>
      </c>
      <c r="E1303" t="n">
        <v>0</v>
      </c>
      <c r="F1303" t="n">
        <v>0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-8172</v>
      </c>
    </row>
    <row r="1304">
      <c r="A1304" s="43" t="n">
        <v>46310</v>
      </c>
      <c r="B1304" t="inlineStr">
        <is>
          <t>Oct 01-15, 2026</t>
        </is>
      </c>
      <c r="C1304" t="inlineStr">
        <is>
          <t>Financial Services</t>
        </is>
      </c>
      <c r="D1304" t="n">
        <v>-8634</v>
      </c>
      <c r="E1304" t="n">
        <v>-886</v>
      </c>
      <c r="F1304" t="n">
        <v>-1118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10</v>
      </c>
      <c r="N1304" t="n">
        <v>0</v>
      </c>
      <c r="O1304" t="n">
        <v>-10628</v>
      </c>
    </row>
    <row r="1305">
      <c r="A1305" s="43" t="n">
        <v>46310</v>
      </c>
      <c r="B1305" t="inlineStr">
        <is>
          <t>Oct 01-15, 2026</t>
        </is>
      </c>
      <c r="C1305" t="inlineStr">
        <is>
          <t>Forest Materials</t>
        </is>
      </c>
      <c r="D1305" t="n">
        <v>-50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-50</v>
      </c>
    </row>
    <row r="1306">
      <c r="A1306" s="43" t="n">
        <v>46310</v>
      </c>
      <c r="B1306" t="inlineStr">
        <is>
          <t>Oct 01-15, 2026</t>
        </is>
      </c>
      <c r="C1306" t="inlineStr">
        <is>
          <t>Healthcare</t>
        </is>
      </c>
      <c r="D1306" t="n">
        <v>-5497</v>
      </c>
      <c r="E1306" t="n">
        <v>0</v>
      </c>
      <c r="F1306" t="n">
        <v>0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-5497</v>
      </c>
    </row>
    <row r="1307">
      <c r="A1307" s="43" t="n">
        <v>46310</v>
      </c>
      <c r="B1307" t="inlineStr">
        <is>
          <t>Oct 01-15, 2026</t>
        </is>
      </c>
      <c r="C1307" t="inlineStr">
        <is>
          <t>Information Technology</t>
        </is>
      </c>
      <c r="D1307" t="n">
        <v>2599</v>
      </c>
      <c r="E1307" t="n">
        <v>0</v>
      </c>
      <c r="F1307" t="n">
        <v>0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2599</v>
      </c>
    </row>
    <row r="1308">
      <c r="A1308" s="43" t="n">
        <v>46310</v>
      </c>
      <c r="B1308" t="inlineStr">
        <is>
          <t>Oct 01-15, 2026</t>
        </is>
      </c>
      <c r="C1308" t="inlineStr">
        <is>
          <t>Media, Entertainment &amp; Publication</t>
        </is>
      </c>
      <c r="D1308" t="n">
        <v>252</v>
      </c>
      <c r="E1308" t="n">
        <v>0</v>
      </c>
      <c r="F1308" t="n">
        <v>0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252</v>
      </c>
    </row>
    <row r="1309">
      <c r="A1309" s="43" t="n">
        <v>46310</v>
      </c>
      <c r="B1309" t="inlineStr">
        <is>
          <t>Oct 01-15, 2026</t>
        </is>
      </c>
      <c r="C1309" t="inlineStr">
        <is>
          <t>Metals &amp; Mining</t>
        </is>
      </c>
      <c r="D1309" t="n">
        <v>-3693</v>
      </c>
      <c r="E1309" t="n">
        <v>0</v>
      </c>
      <c r="F1309" t="n">
        <v>0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-3693</v>
      </c>
    </row>
    <row r="1310">
      <c r="A1310" s="43" t="n">
        <v>46310</v>
      </c>
      <c r="B1310" t="inlineStr">
        <is>
          <t>Oct 01-15, 2026</t>
        </is>
      </c>
      <c r="C1310" t="inlineStr">
        <is>
          <t>Oil, Gas &amp; Consumable Fuels</t>
        </is>
      </c>
      <c r="D1310" t="n">
        <v>-3680</v>
      </c>
      <c r="E1310" t="n">
        <v>0</v>
      </c>
      <c r="F1310" t="n">
        <v>0</v>
      </c>
      <c r="G1310" t="n">
        <v>0</v>
      </c>
      <c r="H1310" t="n">
        <v>-1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-3681</v>
      </c>
    </row>
    <row r="1311">
      <c r="A1311" s="43" t="n">
        <v>46310</v>
      </c>
      <c r="B1311" t="inlineStr">
        <is>
          <t>Oct 01-15, 2026</t>
        </is>
      </c>
      <c r="C1311" t="inlineStr">
        <is>
          <t>Others</t>
        </is>
      </c>
      <c r="D1311" t="n">
        <v>-372</v>
      </c>
      <c r="E1311" t="n">
        <v>4905</v>
      </c>
      <c r="F1311" t="n">
        <v>609</v>
      </c>
      <c r="G1311" t="n">
        <v>0</v>
      </c>
      <c r="H1311" t="n">
        <v>-1</v>
      </c>
      <c r="I1311" t="n">
        <v>168</v>
      </c>
      <c r="J1311" t="n">
        <v>-19</v>
      </c>
      <c r="K1311" t="n">
        <v>5</v>
      </c>
      <c r="L1311" t="n">
        <v>0</v>
      </c>
      <c r="M1311" t="n">
        <v>13</v>
      </c>
      <c r="N1311" t="n">
        <v>0</v>
      </c>
      <c r="O1311" t="n">
        <v>5308</v>
      </c>
    </row>
    <row r="1312">
      <c r="A1312" s="43" t="n">
        <v>46310</v>
      </c>
      <c r="B1312" t="inlineStr">
        <is>
          <t>Oct 01-15, 2026</t>
        </is>
      </c>
      <c r="C1312" t="inlineStr">
        <is>
          <t>Power</t>
        </is>
      </c>
      <c r="D1312" t="n">
        <v>-1732</v>
      </c>
      <c r="E1312" t="n">
        <v>-84</v>
      </c>
      <c r="F1312" t="n">
        <v>-50</v>
      </c>
      <c r="G1312" t="n">
        <v>0</v>
      </c>
      <c r="H1312" t="n">
        <v>-15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-1881</v>
      </c>
    </row>
    <row r="1313">
      <c r="A1313" s="43" t="n">
        <v>46310</v>
      </c>
      <c r="B1313" t="inlineStr">
        <is>
          <t>Oct 01-15, 2026</t>
        </is>
      </c>
      <c r="C1313" t="inlineStr">
        <is>
          <t>Realty</t>
        </is>
      </c>
      <c r="D1313" t="n">
        <v>-578</v>
      </c>
      <c r="E1313" t="n">
        <v>0</v>
      </c>
      <c r="F1313" t="n">
        <v>0</v>
      </c>
      <c r="G1313" t="n">
        <v>0</v>
      </c>
      <c r="H1313" t="n">
        <v>-101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-679</v>
      </c>
    </row>
    <row r="1314">
      <c r="A1314" s="43" t="n">
        <v>46310</v>
      </c>
      <c r="B1314" t="inlineStr">
        <is>
          <t>Oct 01-15, 2026</t>
        </is>
      </c>
      <c r="C1314" t="inlineStr">
        <is>
          <t>Services</t>
        </is>
      </c>
      <c r="D1314" t="n">
        <v>262</v>
      </c>
      <c r="E1314" t="n">
        <v>0</v>
      </c>
      <c r="F1314" t="n">
        <v>0</v>
      </c>
      <c r="G1314" t="n">
        <v>0</v>
      </c>
      <c r="H1314" t="n">
        <v>3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265</v>
      </c>
    </row>
    <row r="1315">
      <c r="A1315" s="43" t="n">
        <v>46310</v>
      </c>
      <c r="B1315" t="inlineStr">
        <is>
          <t>Oct 01-15, 2026</t>
        </is>
      </c>
      <c r="C1315" t="inlineStr">
        <is>
          <t>Sovereign</t>
        </is>
      </c>
      <c r="D1315" t="n">
        <v>0</v>
      </c>
      <c r="E1315" t="n">
        <v>-557</v>
      </c>
      <c r="F1315" t="n">
        <v>0</v>
      </c>
      <c r="G1315" t="n">
        <v>-751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-1308</v>
      </c>
    </row>
    <row r="1316">
      <c r="A1316" s="43" t="n">
        <v>46310</v>
      </c>
      <c r="B1316" t="inlineStr">
        <is>
          <t>Oct 01-15, 2026</t>
        </is>
      </c>
      <c r="C1316" t="inlineStr">
        <is>
          <t>Telecommunication</t>
        </is>
      </c>
      <c r="D1316" t="n">
        <v>-3928</v>
      </c>
      <c r="E1316" t="n">
        <v>0</v>
      </c>
      <c r="F1316" t="n">
        <v>0</v>
      </c>
      <c r="G1316" t="n">
        <v>0</v>
      </c>
      <c r="H1316" t="n">
        <v>-2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-3930</v>
      </c>
    </row>
    <row r="1317">
      <c r="A1317" s="43" t="n">
        <v>46310</v>
      </c>
      <c r="B1317" t="inlineStr">
        <is>
          <t>Oct 01-15, 2026</t>
        </is>
      </c>
      <c r="C1317" t="inlineStr">
        <is>
          <t>Textiles</t>
        </is>
      </c>
      <c r="D1317" t="n">
        <v>-59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-59</v>
      </c>
    </row>
    <row r="1318">
      <c r="A1318" s="43" t="n">
        <v>46310</v>
      </c>
      <c r="B1318" t="inlineStr">
        <is>
          <t>Oct 01-15, 2026</t>
        </is>
      </c>
      <c r="C1318" t="inlineStr">
        <is>
          <t>Utilities</t>
        </is>
      </c>
      <c r="D1318" t="n">
        <v>-34</v>
      </c>
      <c r="E1318" t="n">
        <v>0</v>
      </c>
      <c r="F1318" t="n">
        <v>0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-34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  <col width="14" customWidth="1" style="30" min="55" max="55"/>
    <col width="14" customWidth="1" style="30" min="56" max="56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  <c r="BC1" s="41" t="inlineStr">
        <is>
          <t>2026-09-30</t>
        </is>
      </c>
      <c r="BD1" s="41" t="inlineStr">
        <is>
          <t>2026-10-15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  <c r="BD2" t="n">
        <v>-6533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  <c r="BD3" t="n">
        <v>-3886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  <c r="BD4" t="n">
        <v>41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  <c r="BD5" t="n">
        <v>-1224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  <c r="BD6" t="n">
        <v>-564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  <c r="BD7" t="n">
        <v>-586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  <c r="BD8" t="n">
        <v>-1931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  <c r="BD9" t="n">
        <v>43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  <c r="BD10" t="n">
        <v>-8172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  <c r="BD11" t="n">
        <v>-8634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  <c r="BD12" t="n">
        <v>-50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  <c r="BD13" t="n">
        <v>-5497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  <c r="BD14" t="n">
        <v>2599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  <c r="BD15" t="n">
        <v>252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  <c r="BD16" t="n">
        <v>-3693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  <c r="BD17" t="n">
        <v>-3680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  <c r="BD18" t="n">
        <v>-1732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  <c r="BD19" t="n">
        <v>-578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  <c r="BD20" t="n">
        <v>262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  <c r="BC22" t="n">
        <v>-2423</v>
      </c>
      <c r="BD22" t="n">
        <v>-3928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  <c r="BC23" t="n">
        <v>636</v>
      </c>
      <c r="BD23" t="n">
        <v>-59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  <c r="BC24" t="n">
        <v>-33</v>
      </c>
      <c r="BD24" t="n">
        <v>-34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  <c r="BD25" t="n">
        <v>-372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  <c r="BC26" s="42">
        <f>SUM(BC2:BC25)</f>
        <v/>
      </c>
      <c r="BD26" s="42">
        <f>SUM(BD2:BD25)</f>
        <v/>
      </c>
    </row>
  </sheetData>
  <conditionalFormatting sqref="B2:B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  <c r="AC1" s="41" t="inlineStr">
        <is>
          <t>Oct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-6212</v>
      </c>
      <c r="AC2" t="n">
        <v>-6533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-1461</v>
      </c>
      <c r="AC3" t="n">
        <v>-3886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95</v>
      </c>
      <c r="AC4" t="n">
        <v>41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1311</v>
      </c>
      <c r="AC5" t="n">
        <v>-1224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-1205</v>
      </c>
      <c r="AC6" t="n">
        <v>-564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-1905</v>
      </c>
      <c r="AC7" t="n">
        <v>-586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2333</v>
      </c>
      <c r="AC8" t="n">
        <v>-1931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92</v>
      </c>
      <c r="AC9" t="n">
        <v>43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-3001</v>
      </c>
      <c r="AC10" t="n">
        <v>-8172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-13147</v>
      </c>
      <c r="AC11" t="n">
        <v>-8634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13</v>
      </c>
      <c r="AC12" t="n">
        <v>-50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2117</v>
      </c>
      <c r="AC13" t="n">
        <v>-5497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-998</v>
      </c>
      <c r="AC14" t="n">
        <v>2599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-62</v>
      </c>
      <c r="AC15" t="n">
        <v>252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-3003</v>
      </c>
      <c r="AC16" t="n">
        <v>-3693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-6854</v>
      </c>
      <c r="AC17" t="n">
        <v>-3680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-2223</v>
      </c>
      <c r="AC18" t="n">
        <v>-1732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-743</v>
      </c>
      <c r="AC19" t="n">
        <v>-578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2302</v>
      </c>
      <c r="AC20" t="n">
        <v>262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-3414</v>
      </c>
      <c r="AC22" t="n">
        <v>-3928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646</v>
      </c>
      <c r="AC23" t="n">
        <v>-59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161</v>
      </c>
      <c r="AC24" t="n">
        <v>-34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-703</v>
      </c>
      <c r="AC25" t="n">
        <v>-372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</row>
  </sheetData>
  <conditionalFormatting sqref="B2:AC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  <c r="K1" s="41" t="inlineStr">
        <is>
          <t>2026 Q4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-7670</v>
      </c>
      <c r="K2" t="n">
        <v>-6533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-7130</v>
      </c>
      <c r="K3" t="n">
        <v>-3886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1371</v>
      </c>
      <c r="K4" t="n">
        <v>41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150</v>
      </c>
      <c r="K5" t="n">
        <v>-1224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1374</v>
      </c>
      <c r="K6" t="n">
        <v>-564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9340</v>
      </c>
      <c r="K7" t="n">
        <v>-586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20951</v>
      </c>
      <c r="K8" t="n">
        <v>-1931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98</v>
      </c>
      <c r="K9" t="n">
        <v>43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-5545</v>
      </c>
      <c r="K10" t="n">
        <v>-8172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-3347</v>
      </c>
      <c r="K11" t="n">
        <v>-8634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26</v>
      </c>
      <c r="K12" t="n">
        <v>-50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15803</v>
      </c>
      <c r="K13" t="n">
        <v>-5497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6463</v>
      </c>
      <c r="K14" t="n">
        <v>2599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-261</v>
      </c>
      <c r="K15" t="n">
        <v>252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3741</v>
      </c>
      <c r="K16" t="n">
        <v>-3693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-8870</v>
      </c>
      <c r="K17" t="n">
        <v>-3680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-6639</v>
      </c>
      <c r="K18" t="n">
        <v>-1732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456</v>
      </c>
      <c r="K19" t="n">
        <v>-578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6489</v>
      </c>
      <c r="K20" t="n">
        <v>262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-14122</v>
      </c>
      <c r="K22" t="n">
        <v>-3928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807</v>
      </c>
      <c r="K23" t="n">
        <v>-59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86</v>
      </c>
      <c r="K24" t="n">
        <v>-34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398</v>
      </c>
      <c r="K25" t="n">
        <v>-372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</row>
  </sheetData>
  <conditionalFormatting sqref="B2:K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-32582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-7906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-872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1522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-5178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9315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10484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162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-26020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-62607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-34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497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-4527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-698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-1130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-41508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-9815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-1845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15896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-23212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672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220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2023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2026-10-23T17:43:54Z</dcterms:modified>
  <cp:lastModifiedBy>Ankit Gupta</cp:lastModifiedBy>
</cp:coreProperties>
</file>