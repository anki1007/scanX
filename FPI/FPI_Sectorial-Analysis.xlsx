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Wide'!$BA$11</f>
            </numRef>
          </val>
        </ser>
        <ser>
          <idx val="52"/>
          <order val="52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Wide'!$BB$11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Wide'!$BA$14</f>
            </numRef>
          </val>
        </ser>
        <ser>
          <idx val="105"/>
          <order val="105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Wide'!$BA$17</f>
            </numRef>
          </val>
        </ser>
        <ser>
          <idx val="158"/>
          <order val="158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Wide'!$BA$2</f>
            </numRef>
          </val>
        </ser>
        <ser>
          <idx val="211"/>
          <order val="211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Wide'!$BA$10</f>
            </numRef>
          </val>
        </ser>
        <ser>
          <idx val="264"/>
          <order val="26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Wide'!$BA$8</f>
            </numRef>
          </val>
        </ser>
        <ser>
          <idx val="317"/>
          <order val="317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Wide'!$BA$22</f>
            </numRef>
          </val>
        </ser>
        <ser>
          <idx val="370"/>
          <order val="370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Wide'!$BA$13</f>
            </numRef>
          </val>
        </ser>
        <ser>
          <idx val="423"/>
          <order val="423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C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55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I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8" t="inlineStr">
        <is>
          <t>Sector Trend</t>
        </is>
      </c>
      <c r="BD1" s="11" t="inlineStr">
        <is>
          <t>30 Days
Flow</t>
        </is>
      </c>
      <c r="BE1" s="11" t="inlineStr">
        <is>
          <t>45 Days
Flow</t>
        </is>
      </c>
      <c r="BF1" s="11" t="inlineStr">
        <is>
          <t>60 Days
Flow</t>
        </is>
      </c>
      <c r="BG1" s="11" t="inlineStr">
        <is>
          <t>75 Days
Flow</t>
        </is>
      </c>
      <c r="BH1" s="11" t="inlineStr">
        <is>
          <t>90 Days
Flow</t>
        </is>
      </c>
      <c r="BI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/>
      <c r="BD2" s="38">
        <f>SUM(Table22[[#This Row],[Net Investment
April 16-30, 2026]:[Net Investment
May 01-15, 2026]])</f>
        <v/>
      </c>
      <c r="BE2" s="38">
        <f>SUM(Table22[[#This Row],[Net Investment
April 01-15, 2026]:[Net Investment
May 01-15, 2026]])</f>
        <v/>
      </c>
      <c r="BF2" s="38">
        <f>SUM(Table22[[#This Row],[Net Investment
March 16-31, 2026]:[Net Investment
May 01-15, 2026]])</f>
        <v/>
      </c>
      <c r="BG2" s="38">
        <f>SUM(Table22[[#This Row],[Net Investment
March 01-15, 2026]:[Net Investment
May 01-15, 2026]])</f>
        <v/>
      </c>
      <c r="BH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D3" s="38">
        <f>SUM(Table22[[#This Row],[Net Investment
April 16-30, 2026]:[Net Investment
May 01-15, 2026]])</f>
        <v/>
      </c>
      <c r="BE3" s="38">
        <f>SUM(Table22[[#This Row],[Net Investment
April 01-15, 2026]:[Net Investment
May 01-15, 2026]])</f>
        <v/>
      </c>
      <c r="BF3" s="38">
        <f>SUM(Table22[[#This Row],[Net Investment
March 16-31, 2026]:[Net Investment
May 01-15, 2026]])</f>
        <v/>
      </c>
      <c r="BG3" s="38">
        <f>SUM(Table22[[#This Row],[Net Investment
March 01-15, 2026]:[Net Investment
May 01-15, 2026]])</f>
        <v/>
      </c>
      <c r="BH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D4" s="38">
        <f>SUM(Table22[[#This Row],[Net Investment
April 16-30, 2026]:[Net Investment
May 01-15, 2026]])</f>
        <v/>
      </c>
      <c r="BE4" s="38">
        <f>SUM(Table22[[#This Row],[Net Investment
April 01-15, 2026]:[Net Investment
May 01-15, 2026]])</f>
        <v/>
      </c>
      <c r="BF4" s="38">
        <f>SUM(Table22[[#This Row],[Net Investment
March 16-31, 2026]:[Net Investment
May 01-15, 2026]])</f>
        <v/>
      </c>
      <c r="BG4" s="38">
        <f>SUM(Table22[[#This Row],[Net Investment
March 01-15, 2026]:[Net Investment
May 01-15, 2026]])</f>
        <v/>
      </c>
      <c r="BH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D5" s="38">
        <f>SUM(Table22[[#This Row],[Net Investment
April 16-30, 2026]:[Net Investment
May 01-15, 2026]])</f>
        <v/>
      </c>
      <c r="BE5" s="38">
        <f>SUM(Table22[[#This Row],[Net Investment
April 01-15, 2026]:[Net Investment
May 01-15, 2026]])</f>
        <v/>
      </c>
      <c r="BF5" s="38">
        <f>SUM(Table22[[#This Row],[Net Investment
March 16-31, 2026]:[Net Investment
May 01-15, 2026]])</f>
        <v/>
      </c>
      <c r="BG5" s="38">
        <f>SUM(Table22[[#This Row],[Net Investment
March 01-15, 2026]:[Net Investment
May 01-15, 2026]])</f>
        <v/>
      </c>
      <c r="BH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D6" s="38">
        <f>SUM(Table22[[#This Row],[Net Investment
April 16-30, 2026]:[Net Investment
May 01-15, 2026]])</f>
        <v/>
      </c>
      <c r="BE6" s="38">
        <f>SUM(Table22[[#This Row],[Net Investment
April 01-15, 2026]:[Net Investment
May 01-15, 2026]])</f>
        <v/>
      </c>
      <c r="BF6" s="38">
        <f>SUM(Table22[[#This Row],[Net Investment
March 16-31, 2026]:[Net Investment
May 01-15, 2026]])</f>
        <v/>
      </c>
      <c r="BG6" s="38">
        <f>SUM(Table22[[#This Row],[Net Investment
March 01-15, 2026]:[Net Investment
May 01-15, 2026]])</f>
        <v/>
      </c>
      <c r="BH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D7" s="38">
        <f>SUM(Table22[[#This Row],[Net Investment
April 16-30, 2026]:[Net Investment
May 01-15, 2026]])</f>
        <v/>
      </c>
      <c r="BE7" s="38">
        <f>SUM(Table22[[#This Row],[Net Investment
April 01-15, 2026]:[Net Investment
May 01-15, 2026]])</f>
        <v/>
      </c>
      <c r="BF7" s="38">
        <f>SUM(Table22[[#This Row],[Net Investment
March 16-31, 2026]:[Net Investment
May 01-15, 2026]])</f>
        <v/>
      </c>
      <c r="BG7" s="38">
        <f>SUM(Table22[[#This Row],[Net Investment
March 01-15, 2026]:[Net Investment
May 01-15, 2026]])</f>
        <v/>
      </c>
      <c r="BH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D8" s="38">
        <f>SUM(Table22[[#This Row],[Net Investment
April 16-30, 2026]:[Net Investment
May 01-15, 2026]])</f>
        <v/>
      </c>
      <c r="BE8" s="38">
        <f>SUM(Table22[[#This Row],[Net Investment
April 01-15, 2026]:[Net Investment
May 01-15, 2026]])</f>
        <v/>
      </c>
      <c r="BF8" s="38">
        <f>SUM(Table22[[#This Row],[Net Investment
March 16-31, 2026]:[Net Investment
May 01-15, 2026]])</f>
        <v/>
      </c>
      <c r="BG8" s="38">
        <f>SUM(Table22[[#This Row],[Net Investment
March 01-15, 2026]:[Net Investment
May 01-15, 2026]])</f>
        <v/>
      </c>
      <c r="BH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D9" s="38">
        <f>SUM(Table22[[#This Row],[Net Investment
April 16-30, 2026]:[Net Investment
May 01-15, 2026]])</f>
        <v/>
      </c>
      <c r="BE9" s="38">
        <f>SUM(Table22[[#This Row],[Net Investment
April 01-15, 2026]:[Net Investment
May 01-15, 2026]])</f>
        <v/>
      </c>
      <c r="BF9" s="38">
        <f>SUM(Table22[[#This Row],[Net Investment
March 16-31, 2026]:[Net Investment
May 01-15, 2026]])</f>
        <v/>
      </c>
      <c r="BG9" s="38">
        <f>SUM(Table22[[#This Row],[Net Investment
March 01-15, 2026]:[Net Investment
May 01-15, 2026]])</f>
        <v/>
      </c>
      <c r="BH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D10" s="38">
        <f>SUM(Table22[[#This Row],[Net Investment
April 16-30, 2026]:[Net Investment
May 01-15, 2026]])</f>
        <v/>
      </c>
      <c r="BE10" s="38">
        <f>SUM(Table22[[#This Row],[Net Investment
April 01-15, 2026]:[Net Investment
May 01-15, 2026]])</f>
        <v/>
      </c>
      <c r="BF10" s="38">
        <f>SUM(Table22[[#This Row],[Net Investment
March 16-31, 2026]:[Net Investment
May 01-15, 2026]])</f>
        <v/>
      </c>
      <c r="BG10" s="38">
        <f>SUM(Table22[[#This Row],[Net Investment
March 01-15, 2026]:[Net Investment
May 01-15, 2026]])</f>
        <v/>
      </c>
      <c r="BH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D11" s="38">
        <f>SUM(Table22[[#This Row],[Net Investment
April 16-30, 2026]:[Net Investment
May 01-15, 2026]])</f>
        <v/>
      </c>
      <c r="BE11" s="38">
        <f>SUM(Table22[[#This Row],[Net Investment
April 01-15, 2026]:[Net Investment
May 01-15, 2026]])</f>
        <v/>
      </c>
      <c r="BF11" s="38">
        <f>SUM(Table22[[#This Row],[Net Investment
March 16-31, 2026]:[Net Investment
May 01-15, 2026]])</f>
        <v/>
      </c>
      <c r="BG11" s="38">
        <f>SUM(Table22[[#This Row],[Net Investment
March 01-15, 2026]:[Net Investment
May 01-15, 2026]])</f>
        <v/>
      </c>
      <c r="BH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D12" s="38">
        <f>SUM(Table22[[#This Row],[Net Investment
April 16-30, 2026]:[Net Investment
May 01-15, 2026]])</f>
        <v/>
      </c>
      <c r="BE12" s="38">
        <f>SUM(Table22[[#This Row],[Net Investment
April 01-15, 2026]:[Net Investment
May 01-15, 2026]])</f>
        <v/>
      </c>
      <c r="BF12" s="38">
        <f>SUM(Table22[[#This Row],[Net Investment
March 16-31, 2026]:[Net Investment
May 01-15, 2026]])</f>
        <v/>
      </c>
      <c r="BG12" s="38">
        <f>SUM(Table22[[#This Row],[Net Investment
March 01-15, 2026]:[Net Investment
May 01-15, 2026]])</f>
        <v/>
      </c>
      <c r="BH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D13" s="38">
        <f>SUM(Table22[[#This Row],[Net Investment
April 16-30, 2026]:[Net Investment
May 01-15, 2026]])</f>
        <v/>
      </c>
      <c r="BE13" s="38">
        <f>SUM(Table22[[#This Row],[Net Investment
April 01-15, 2026]:[Net Investment
May 01-15, 2026]])</f>
        <v/>
      </c>
      <c r="BF13" s="38">
        <f>SUM(Table22[[#This Row],[Net Investment
March 16-31, 2026]:[Net Investment
May 01-15, 2026]])</f>
        <v/>
      </c>
      <c r="BG13" s="38">
        <f>SUM(Table22[[#This Row],[Net Investment
March 01-15, 2026]:[Net Investment
May 01-15, 2026]])</f>
        <v/>
      </c>
      <c r="BH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D14" s="38">
        <f>SUM(Table22[[#This Row],[Net Investment
April 16-30, 2026]:[Net Investment
May 01-15, 2026]])</f>
        <v/>
      </c>
      <c r="BE14" s="38">
        <f>SUM(Table22[[#This Row],[Net Investment
April 01-15, 2026]:[Net Investment
May 01-15, 2026]])</f>
        <v/>
      </c>
      <c r="BF14" s="38">
        <f>SUM(Table22[[#This Row],[Net Investment
March 16-31, 2026]:[Net Investment
May 01-15, 2026]])</f>
        <v/>
      </c>
      <c r="BG14" s="38">
        <f>SUM(Table22[[#This Row],[Net Investment
March 01-15, 2026]:[Net Investment
May 01-15, 2026]])</f>
        <v/>
      </c>
      <c r="BH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D15" s="38">
        <f>SUM(Table22[[#This Row],[Net Investment
April 16-30, 2026]:[Net Investment
May 01-15, 2026]])</f>
        <v/>
      </c>
      <c r="BE15" s="38">
        <f>SUM(Table22[[#This Row],[Net Investment
April 01-15, 2026]:[Net Investment
May 01-15, 2026]])</f>
        <v/>
      </c>
      <c r="BF15" s="38">
        <f>SUM(Table22[[#This Row],[Net Investment
March 16-31, 2026]:[Net Investment
May 01-15, 2026]])</f>
        <v/>
      </c>
      <c r="BG15" s="38">
        <f>SUM(Table22[[#This Row],[Net Investment
March 01-15, 2026]:[Net Investment
May 01-15, 2026]])</f>
        <v/>
      </c>
      <c r="BH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D16" s="38">
        <f>SUM(Table22[[#This Row],[Net Investment
April 16-30, 2026]:[Net Investment
May 01-15, 2026]])</f>
        <v/>
      </c>
      <c r="BE16" s="38">
        <f>SUM(Table22[[#This Row],[Net Investment
April 01-15, 2026]:[Net Investment
May 01-15, 2026]])</f>
        <v/>
      </c>
      <c r="BF16" s="38">
        <f>SUM(Table22[[#This Row],[Net Investment
March 16-31, 2026]:[Net Investment
May 01-15, 2026]])</f>
        <v/>
      </c>
      <c r="BG16" s="38">
        <f>SUM(Table22[[#This Row],[Net Investment
March 01-15, 2026]:[Net Investment
May 01-15, 2026]])</f>
        <v/>
      </c>
      <c r="BH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D17" s="38">
        <f>SUM(Table22[[#This Row],[Net Investment
April 16-30, 2026]:[Net Investment
May 01-15, 2026]])</f>
        <v/>
      </c>
      <c r="BE17" s="38">
        <f>SUM(Table22[[#This Row],[Net Investment
April 01-15, 2026]:[Net Investment
May 01-15, 2026]])</f>
        <v/>
      </c>
      <c r="BF17" s="38">
        <f>SUM(Table22[[#This Row],[Net Investment
March 16-31, 2026]:[Net Investment
May 01-15, 2026]])</f>
        <v/>
      </c>
      <c r="BG17" s="38">
        <f>SUM(Table22[[#This Row],[Net Investment
March 01-15, 2026]:[Net Investment
May 01-15, 2026]])</f>
        <v/>
      </c>
      <c r="BH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D18" s="38">
        <f>SUM(Table22[[#This Row],[Net Investment
April 16-30, 2026]:[Net Investment
May 01-15, 2026]])</f>
        <v/>
      </c>
      <c r="BE18" s="38">
        <f>SUM(Table22[[#This Row],[Net Investment
April 01-15, 2026]:[Net Investment
May 01-15, 2026]])</f>
        <v/>
      </c>
      <c r="BF18" s="38">
        <f>SUM(Table22[[#This Row],[Net Investment
March 16-31, 2026]:[Net Investment
May 01-15, 2026]])</f>
        <v/>
      </c>
      <c r="BG18" s="38">
        <f>SUM(Table22[[#This Row],[Net Investment
March 01-15, 2026]:[Net Investment
May 01-15, 2026]])</f>
        <v/>
      </c>
      <c r="BH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D19" s="38">
        <f>SUM(Table22[[#This Row],[Net Investment
April 16-30, 2026]:[Net Investment
May 01-15, 2026]])</f>
        <v/>
      </c>
      <c r="BE19" s="38">
        <f>SUM(Table22[[#This Row],[Net Investment
April 01-15, 2026]:[Net Investment
May 01-15, 2026]])</f>
        <v/>
      </c>
      <c r="BF19" s="38">
        <f>SUM(Table22[[#This Row],[Net Investment
March 16-31, 2026]:[Net Investment
May 01-15, 2026]])</f>
        <v/>
      </c>
      <c r="BG19" s="38">
        <f>SUM(Table22[[#This Row],[Net Investment
March 01-15, 2026]:[Net Investment
May 01-15, 2026]])</f>
        <v/>
      </c>
      <c r="BH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D20" s="38">
        <f>SUM(Table22[[#This Row],[Net Investment
April 16-30, 2026]:[Net Investment
May 01-15, 2026]])</f>
        <v/>
      </c>
      <c r="BE20" s="38">
        <f>SUM(Table22[[#This Row],[Net Investment
April 01-15, 2026]:[Net Investment
May 01-15, 2026]])</f>
        <v/>
      </c>
      <c r="BF20" s="38">
        <f>SUM(Table22[[#This Row],[Net Investment
March 16-31, 2026]:[Net Investment
May 01-15, 2026]])</f>
        <v/>
      </c>
      <c r="BG20" s="38">
        <f>SUM(Table22[[#This Row],[Net Investment
March 01-15, 2026]:[Net Investment
May 01-15, 2026]])</f>
        <v/>
      </c>
      <c r="BH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D21" s="38">
        <f>SUM(Table22[[#This Row],[Net Investment
April 16-30, 2026]:[Net Investment
May 01-15, 2026]])</f>
        <v/>
      </c>
      <c r="BE21" s="38">
        <f>SUM(Table22[[#This Row],[Net Investment
April 01-15, 2026]:[Net Investment
May 01-15, 2026]])</f>
        <v/>
      </c>
      <c r="BF21" s="38">
        <f>SUM(Table22[[#This Row],[Net Investment
March 16-31, 2026]:[Net Investment
May 01-15, 2026]])</f>
        <v/>
      </c>
      <c r="BG21" s="38">
        <f>SUM(Table22[[#This Row],[Net Investment
March 01-15, 2026]:[Net Investment
May 01-15, 2026]])</f>
        <v/>
      </c>
      <c r="BH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D22" s="38">
        <f>SUM(Table22[[#This Row],[Net Investment
April 16-30, 2026]:[Net Investment
May 01-15, 2026]])</f>
        <v/>
      </c>
      <c r="BE22" s="38">
        <f>SUM(Table22[[#This Row],[Net Investment
April 01-15, 2026]:[Net Investment
May 01-15, 2026]])</f>
        <v/>
      </c>
      <c r="BF22" s="38">
        <f>SUM(Table22[[#This Row],[Net Investment
March 16-31, 2026]:[Net Investment
May 01-15, 2026]])</f>
        <v/>
      </c>
      <c r="BG22" s="38">
        <f>SUM(Table22[[#This Row],[Net Investment
March 01-15, 2026]:[Net Investment
May 01-15, 2026]])</f>
        <v/>
      </c>
      <c r="BH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D23" s="38">
        <f>SUM(Table22[[#This Row],[Net Investment
April 16-30, 2026]:[Net Investment
May 01-15, 2026]])</f>
        <v/>
      </c>
      <c r="BE23" s="38">
        <f>SUM(Table22[[#This Row],[Net Investment
April 01-15, 2026]:[Net Investment
May 01-15, 2026]])</f>
        <v/>
      </c>
      <c r="BF23" s="38">
        <f>SUM(Table22[[#This Row],[Net Investment
March 16-31, 2026]:[Net Investment
May 01-15, 2026]])</f>
        <v/>
      </c>
      <c r="BG23" s="38">
        <f>SUM(Table22[[#This Row],[Net Investment
March 01-15, 2026]:[Net Investment
May 01-15, 2026]])</f>
        <v/>
      </c>
      <c r="BH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D24" s="38">
        <f>SUM(Table22[[#This Row],[Net Investment
April 16-30, 2026]:[Net Investment
May 01-15, 2026]])</f>
        <v/>
      </c>
      <c r="BE24" s="38">
        <f>SUM(Table22[[#This Row],[Net Investment
April 01-15, 2026]:[Net Investment
May 01-15, 2026]])</f>
        <v/>
      </c>
      <c r="BF24" s="38">
        <f>SUM(Table22[[#This Row],[Net Investment
March 16-31, 2026]:[Net Investment
May 01-15, 2026]])</f>
        <v/>
      </c>
      <c r="BG24" s="38">
        <f>SUM(Table22[[#This Row],[Net Investment
March 01-15, 2026]:[Net Investment
May 01-15, 2026]])</f>
        <v/>
      </c>
      <c r="BH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D25" s="38">
        <f>SUM(Table22[[#This Row],[Net Investment
April 16-30, 2026]:[Net Investment
May 01-15, 2026]])</f>
        <v/>
      </c>
      <c r="BE25" s="38">
        <f>SUM(Table22[[#This Row],[Net Investment
April 01-15, 2026]:[Net Investment
May 01-15, 2026]])</f>
        <v/>
      </c>
      <c r="BF25" s="38">
        <f>SUM(Table22[[#This Row],[Net Investment
March 16-31, 2026]:[Net Investment
May 01-15, 2026]])</f>
        <v/>
      </c>
      <c r="BG25" s="38">
        <f>SUM(Table22[[#This Row],[Net Investment
March 01-15, 2026]:[Net Investment
May 01-15, 2026]])</f>
        <v/>
      </c>
      <c r="BH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D26" s="38">
        <f>SUM(Table22[[#This Row],[Net Investment
April 16-30, 2026]:[Net Investment
May 01-15, 2026]])</f>
        <v/>
      </c>
      <c r="BE26" s="38">
        <f>SUM(Table22[[#This Row],[Net Investment
April 01-15, 2026]:[Net Investment
May 01-15, 2026]])</f>
        <v/>
      </c>
      <c r="BF26" s="38">
        <f>SUM(Table22[[#This Row],[Net Investment
March 16-31, 2026]:[Net Investment
May 01-15, 2026]])</f>
        <v/>
      </c>
      <c r="BG26" s="38">
        <f>SUM(Table22[[#This Row],[Net Investment
March 01-15, 2026]:[Net Investment
May 01-15, 2026]])</f>
        <v/>
      </c>
      <c r="BH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7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</row>
  </sheetData>
  <conditionalFormatting sqref="B2:B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-2670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-108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228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930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-358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-397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422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-23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-2029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-6204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7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2114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-93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-681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-2385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-1653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-762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905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-991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10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194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388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</row>
  </sheetData>
  <conditionalFormatting sqref="B2:A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-4128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-5777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1504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-231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2221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10848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19040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-17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-4573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3596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15800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6501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-292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6063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-4401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-6069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437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5092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-11699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171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1489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-22507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-2667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-780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2365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-3767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11409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10504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4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-16876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-47030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5991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-7088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-981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4885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-33359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-7513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-1286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14237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-16861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95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3486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2026-10-02T17:57:55Z</dcterms:modified>
  <cp:lastModifiedBy>Ankit Gupta</cp:lastModifiedBy>
</cp:coreProperties>
</file>