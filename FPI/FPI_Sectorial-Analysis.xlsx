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Wide'!$AZ$11</f>
            </numRef>
          </val>
        </ser>
        <ser>
          <idx val="51"/>
          <order val="51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Wide'!$AZ$14</f>
            </numRef>
          </val>
        </ser>
        <ser>
          <idx val="103"/>
          <order val="10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Wide'!$AZ$17</f>
            </numRef>
          </val>
        </ser>
        <ser>
          <idx val="155"/>
          <order val="155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</f>
            </numRef>
          </val>
        </ser>
        <ser>
          <idx val="207"/>
          <order val="207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Wide'!$AZ$10</f>
            </numRef>
          </val>
        </ser>
        <ser>
          <idx val="259"/>
          <order val="25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Wide'!$AZ$8</f>
            </numRef>
          </val>
        </ser>
        <ser>
          <idx val="311"/>
          <order val="31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Wide'!$AZ$22</f>
            </numRef>
          </val>
        </ser>
        <ser>
          <idx val="363"/>
          <order val="363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Wide'!$AZ$13</f>
            </numRef>
          </val>
        </ser>
        <ser>
          <idx val="415"/>
          <order val="415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B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54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8" t="inlineStr">
        <is>
          <t>Sector Trend</t>
        </is>
      </c>
      <c r="BC1" s="11" t="inlineStr">
        <is>
          <t>30 Days
Flow</t>
        </is>
      </c>
      <c r="BD1" s="11" t="inlineStr">
        <is>
          <t>45 Days
Flow</t>
        </is>
      </c>
      <c r="BE1" s="11" t="inlineStr">
        <is>
          <t>60 Days
Flow</t>
        </is>
      </c>
      <c r="BF1" s="11" t="inlineStr">
        <is>
          <t>75 Days
Flow</t>
        </is>
      </c>
      <c r="BG1" s="11" t="inlineStr">
        <is>
          <t>90 Days
Flow</t>
        </is>
      </c>
      <c r="BH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/>
      <c r="BC2" s="38">
        <f>SUM(Table22[[#This Row],[Net Investment
April 16-30, 2026]:[Net Investment
May 01-15, 2026]])</f>
        <v/>
      </c>
      <c r="BD2" s="38">
        <f>SUM(Table22[[#This Row],[Net Investment
April 01-15, 2026]:[Net Investment
May 01-15, 2026]])</f>
        <v/>
      </c>
      <c r="BE2" s="38">
        <f>SUM(Table22[[#This Row],[Net Investment
March 16-31, 2026]:[Net Investment
May 01-15, 2026]])</f>
        <v/>
      </c>
      <c r="BF2" s="38">
        <f>SUM(Table22[[#This Row],[Net Investment
March 01-15, 2026]:[Net Investment
May 01-15, 2026]])</f>
        <v/>
      </c>
      <c r="BG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C3" s="38">
        <f>SUM(Table22[[#This Row],[Net Investment
April 16-30, 2026]:[Net Investment
May 01-15, 2026]])</f>
        <v/>
      </c>
      <c r="BD3" s="38">
        <f>SUM(Table22[[#This Row],[Net Investment
April 01-15, 2026]:[Net Investment
May 01-15, 2026]])</f>
        <v/>
      </c>
      <c r="BE3" s="38">
        <f>SUM(Table22[[#This Row],[Net Investment
March 16-31, 2026]:[Net Investment
May 01-15, 2026]])</f>
        <v/>
      </c>
      <c r="BF3" s="38">
        <f>SUM(Table22[[#This Row],[Net Investment
March 01-15, 2026]:[Net Investment
May 01-15, 2026]])</f>
        <v/>
      </c>
      <c r="BG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C4" s="38">
        <f>SUM(Table22[[#This Row],[Net Investment
April 16-30, 2026]:[Net Investment
May 01-15, 2026]])</f>
        <v/>
      </c>
      <c r="BD4" s="38">
        <f>SUM(Table22[[#This Row],[Net Investment
April 01-15, 2026]:[Net Investment
May 01-15, 2026]])</f>
        <v/>
      </c>
      <c r="BE4" s="38">
        <f>SUM(Table22[[#This Row],[Net Investment
March 16-31, 2026]:[Net Investment
May 01-15, 2026]])</f>
        <v/>
      </c>
      <c r="BF4" s="38">
        <f>SUM(Table22[[#This Row],[Net Investment
March 01-15, 2026]:[Net Investment
May 01-15, 2026]])</f>
        <v/>
      </c>
      <c r="BG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C5" s="38">
        <f>SUM(Table22[[#This Row],[Net Investment
April 16-30, 2026]:[Net Investment
May 01-15, 2026]])</f>
        <v/>
      </c>
      <c r="BD5" s="38">
        <f>SUM(Table22[[#This Row],[Net Investment
April 01-15, 2026]:[Net Investment
May 01-15, 2026]])</f>
        <v/>
      </c>
      <c r="BE5" s="38">
        <f>SUM(Table22[[#This Row],[Net Investment
March 16-31, 2026]:[Net Investment
May 01-15, 2026]])</f>
        <v/>
      </c>
      <c r="BF5" s="38">
        <f>SUM(Table22[[#This Row],[Net Investment
March 01-15, 2026]:[Net Investment
May 01-15, 2026]])</f>
        <v/>
      </c>
      <c r="BG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C6" s="38">
        <f>SUM(Table22[[#This Row],[Net Investment
April 16-30, 2026]:[Net Investment
May 01-15, 2026]])</f>
        <v/>
      </c>
      <c r="BD6" s="38">
        <f>SUM(Table22[[#This Row],[Net Investment
April 01-15, 2026]:[Net Investment
May 01-15, 2026]])</f>
        <v/>
      </c>
      <c r="BE6" s="38">
        <f>SUM(Table22[[#This Row],[Net Investment
March 16-31, 2026]:[Net Investment
May 01-15, 2026]])</f>
        <v/>
      </c>
      <c r="BF6" s="38">
        <f>SUM(Table22[[#This Row],[Net Investment
March 01-15, 2026]:[Net Investment
May 01-15, 2026]])</f>
        <v/>
      </c>
      <c r="BG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C7" s="38">
        <f>SUM(Table22[[#This Row],[Net Investment
April 16-30, 2026]:[Net Investment
May 01-15, 2026]])</f>
        <v/>
      </c>
      <c r="BD7" s="38">
        <f>SUM(Table22[[#This Row],[Net Investment
April 01-15, 2026]:[Net Investment
May 01-15, 2026]])</f>
        <v/>
      </c>
      <c r="BE7" s="38">
        <f>SUM(Table22[[#This Row],[Net Investment
March 16-31, 2026]:[Net Investment
May 01-15, 2026]])</f>
        <v/>
      </c>
      <c r="BF7" s="38">
        <f>SUM(Table22[[#This Row],[Net Investment
March 01-15, 2026]:[Net Investment
May 01-15, 2026]])</f>
        <v/>
      </c>
      <c r="BG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C8" s="38">
        <f>SUM(Table22[[#This Row],[Net Investment
April 16-30, 2026]:[Net Investment
May 01-15, 2026]])</f>
        <v/>
      </c>
      <c r="BD8" s="38">
        <f>SUM(Table22[[#This Row],[Net Investment
April 01-15, 2026]:[Net Investment
May 01-15, 2026]])</f>
        <v/>
      </c>
      <c r="BE8" s="38">
        <f>SUM(Table22[[#This Row],[Net Investment
March 16-31, 2026]:[Net Investment
May 01-15, 2026]])</f>
        <v/>
      </c>
      <c r="BF8" s="38">
        <f>SUM(Table22[[#This Row],[Net Investment
March 01-15, 2026]:[Net Investment
May 01-15, 2026]])</f>
        <v/>
      </c>
      <c r="BG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C9" s="38">
        <f>SUM(Table22[[#This Row],[Net Investment
April 16-30, 2026]:[Net Investment
May 01-15, 2026]])</f>
        <v/>
      </c>
      <c r="BD9" s="38">
        <f>SUM(Table22[[#This Row],[Net Investment
April 01-15, 2026]:[Net Investment
May 01-15, 2026]])</f>
        <v/>
      </c>
      <c r="BE9" s="38">
        <f>SUM(Table22[[#This Row],[Net Investment
March 16-31, 2026]:[Net Investment
May 01-15, 2026]])</f>
        <v/>
      </c>
      <c r="BF9" s="38">
        <f>SUM(Table22[[#This Row],[Net Investment
March 01-15, 2026]:[Net Investment
May 01-15, 2026]])</f>
        <v/>
      </c>
      <c r="BG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C10" s="38">
        <f>SUM(Table22[[#This Row],[Net Investment
April 16-30, 2026]:[Net Investment
May 01-15, 2026]])</f>
        <v/>
      </c>
      <c r="BD10" s="38">
        <f>SUM(Table22[[#This Row],[Net Investment
April 01-15, 2026]:[Net Investment
May 01-15, 2026]])</f>
        <v/>
      </c>
      <c r="BE10" s="38">
        <f>SUM(Table22[[#This Row],[Net Investment
March 16-31, 2026]:[Net Investment
May 01-15, 2026]])</f>
        <v/>
      </c>
      <c r="BF10" s="38">
        <f>SUM(Table22[[#This Row],[Net Investment
March 01-15, 2026]:[Net Investment
May 01-15, 2026]])</f>
        <v/>
      </c>
      <c r="BG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C11" s="38">
        <f>SUM(Table22[[#This Row],[Net Investment
April 16-30, 2026]:[Net Investment
May 01-15, 2026]])</f>
        <v/>
      </c>
      <c r="BD11" s="38">
        <f>SUM(Table22[[#This Row],[Net Investment
April 01-15, 2026]:[Net Investment
May 01-15, 2026]])</f>
        <v/>
      </c>
      <c r="BE11" s="38">
        <f>SUM(Table22[[#This Row],[Net Investment
March 16-31, 2026]:[Net Investment
May 01-15, 2026]])</f>
        <v/>
      </c>
      <c r="BF11" s="38">
        <f>SUM(Table22[[#This Row],[Net Investment
March 01-15, 2026]:[Net Investment
May 01-15, 2026]])</f>
        <v/>
      </c>
      <c r="BG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C12" s="38">
        <f>SUM(Table22[[#This Row],[Net Investment
April 16-30, 2026]:[Net Investment
May 01-15, 2026]])</f>
        <v/>
      </c>
      <c r="BD12" s="38">
        <f>SUM(Table22[[#This Row],[Net Investment
April 01-15, 2026]:[Net Investment
May 01-15, 2026]])</f>
        <v/>
      </c>
      <c r="BE12" s="38">
        <f>SUM(Table22[[#This Row],[Net Investment
March 16-31, 2026]:[Net Investment
May 01-15, 2026]])</f>
        <v/>
      </c>
      <c r="BF12" s="38">
        <f>SUM(Table22[[#This Row],[Net Investment
March 01-15, 2026]:[Net Investment
May 01-15, 2026]])</f>
        <v/>
      </c>
      <c r="BG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C13" s="38">
        <f>SUM(Table22[[#This Row],[Net Investment
April 16-30, 2026]:[Net Investment
May 01-15, 2026]])</f>
        <v/>
      </c>
      <c r="BD13" s="38">
        <f>SUM(Table22[[#This Row],[Net Investment
April 01-15, 2026]:[Net Investment
May 01-15, 2026]])</f>
        <v/>
      </c>
      <c r="BE13" s="38">
        <f>SUM(Table22[[#This Row],[Net Investment
March 16-31, 2026]:[Net Investment
May 01-15, 2026]])</f>
        <v/>
      </c>
      <c r="BF13" s="38">
        <f>SUM(Table22[[#This Row],[Net Investment
March 01-15, 2026]:[Net Investment
May 01-15, 2026]])</f>
        <v/>
      </c>
      <c r="BG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C14" s="38">
        <f>SUM(Table22[[#This Row],[Net Investment
April 16-30, 2026]:[Net Investment
May 01-15, 2026]])</f>
        <v/>
      </c>
      <c r="BD14" s="38">
        <f>SUM(Table22[[#This Row],[Net Investment
April 01-15, 2026]:[Net Investment
May 01-15, 2026]])</f>
        <v/>
      </c>
      <c r="BE14" s="38">
        <f>SUM(Table22[[#This Row],[Net Investment
March 16-31, 2026]:[Net Investment
May 01-15, 2026]])</f>
        <v/>
      </c>
      <c r="BF14" s="38">
        <f>SUM(Table22[[#This Row],[Net Investment
March 01-15, 2026]:[Net Investment
May 01-15, 2026]])</f>
        <v/>
      </c>
      <c r="BG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C15" s="38">
        <f>SUM(Table22[[#This Row],[Net Investment
April 16-30, 2026]:[Net Investment
May 01-15, 2026]])</f>
        <v/>
      </c>
      <c r="BD15" s="38">
        <f>SUM(Table22[[#This Row],[Net Investment
April 01-15, 2026]:[Net Investment
May 01-15, 2026]])</f>
        <v/>
      </c>
      <c r="BE15" s="38">
        <f>SUM(Table22[[#This Row],[Net Investment
March 16-31, 2026]:[Net Investment
May 01-15, 2026]])</f>
        <v/>
      </c>
      <c r="BF15" s="38">
        <f>SUM(Table22[[#This Row],[Net Investment
March 01-15, 2026]:[Net Investment
May 01-15, 2026]])</f>
        <v/>
      </c>
      <c r="BG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C16" s="38">
        <f>SUM(Table22[[#This Row],[Net Investment
April 16-30, 2026]:[Net Investment
May 01-15, 2026]])</f>
        <v/>
      </c>
      <c r="BD16" s="38">
        <f>SUM(Table22[[#This Row],[Net Investment
April 01-15, 2026]:[Net Investment
May 01-15, 2026]])</f>
        <v/>
      </c>
      <c r="BE16" s="38">
        <f>SUM(Table22[[#This Row],[Net Investment
March 16-31, 2026]:[Net Investment
May 01-15, 2026]])</f>
        <v/>
      </c>
      <c r="BF16" s="38">
        <f>SUM(Table22[[#This Row],[Net Investment
March 01-15, 2026]:[Net Investment
May 01-15, 2026]])</f>
        <v/>
      </c>
      <c r="BG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C17" s="38">
        <f>SUM(Table22[[#This Row],[Net Investment
April 16-30, 2026]:[Net Investment
May 01-15, 2026]])</f>
        <v/>
      </c>
      <c r="BD17" s="38">
        <f>SUM(Table22[[#This Row],[Net Investment
April 01-15, 2026]:[Net Investment
May 01-15, 2026]])</f>
        <v/>
      </c>
      <c r="BE17" s="38">
        <f>SUM(Table22[[#This Row],[Net Investment
March 16-31, 2026]:[Net Investment
May 01-15, 2026]])</f>
        <v/>
      </c>
      <c r="BF17" s="38">
        <f>SUM(Table22[[#This Row],[Net Investment
March 01-15, 2026]:[Net Investment
May 01-15, 2026]])</f>
        <v/>
      </c>
      <c r="BG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C18" s="38">
        <f>SUM(Table22[[#This Row],[Net Investment
April 16-30, 2026]:[Net Investment
May 01-15, 2026]])</f>
        <v/>
      </c>
      <c r="BD18" s="38">
        <f>SUM(Table22[[#This Row],[Net Investment
April 01-15, 2026]:[Net Investment
May 01-15, 2026]])</f>
        <v/>
      </c>
      <c r="BE18" s="38">
        <f>SUM(Table22[[#This Row],[Net Investment
March 16-31, 2026]:[Net Investment
May 01-15, 2026]])</f>
        <v/>
      </c>
      <c r="BF18" s="38">
        <f>SUM(Table22[[#This Row],[Net Investment
March 01-15, 2026]:[Net Investment
May 01-15, 2026]])</f>
        <v/>
      </c>
      <c r="BG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C19" s="38">
        <f>SUM(Table22[[#This Row],[Net Investment
April 16-30, 2026]:[Net Investment
May 01-15, 2026]])</f>
        <v/>
      </c>
      <c r="BD19" s="38">
        <f>SUM(Table22[[#This Row],[Net Investment
April 01-15, 2026]:[Net Investment
May 01-15, 2026]])</f>
        <v/>
      </c>
      <c r="BE19" s="38">
        <f>SUM(Table22[[#This Row],[Net Investment
March 16-31, 2026]:[Net Investment
May 01-15, 2026]])</f>
        <v/>
      </c>
      <c r="BF19" s="38">
        <f>SUM(Table22[[#This Row],[Net Investment
March 01-15, 2026]:[Net Investment
May 01-15, 2026]])</f>
        <v/>
      </c>
      <c r="BG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C20" s="38">
        <f>SUM(Table22[[#This Row],[Net Investment
April 16-30, 2026]:[Net Investment
May 01-15, 2026]])</f>
        <v/>
      </c>
      <c r="BD20" s="38">
        <f>SUM(Table22[[#This Row],[Net Investment
April 01-15, 2026]:[Net Investment
May 01-15, 2026]])</f>
        <v/>
      </c>
      <c r="BE20" s="38">
        <f>SUM(Table22[[#This Row],[Net Investment
March 16-31, 2026]:[Net Investment
May 01-15, 2026]])</f>
        <v/>
      </c>
      <c r="BF20" s="38">
        <f>SUM(Table22[[#This Row],[Net Investment
March 01-15, 2026]:[Net Investment
May 01-15, 2026]])</f>
        <v/>
      </c>
      <c r="BG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C21" s="38">
        <f>SUM(Table22[[#This Row],[Net Investment
April 16-30, 2026]:[Net Investment
May 01-15, 2026]])</f>
        <v/>
      </c>
      <c r="BD21" s="38">
        <f>SUM(Table22[[#This Row],[Net Investment
April 01-15, 2026]:[Net Investment
May 01-15, 2026]])</f>
        <v/>
      </c>
      <c r="BE21" s="38">
        <f>SUM(Table22[[#This Row],[Net Investment
March 16-31, 2026]:[Net Investment
May 01-15, 2026]])</f>
        <v/>
      </c>
      <c r="BF21" s="38">
        <f>SUM(Table22[[#This Row],[Net Investment
March 01-15, 2026]:[Net Investment
May 01-15, 2026]])</f>
        <v/>
      </c>
      <c r="BG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C22" s="38">
        <f>SUM(Table22[[#This Row],[Net Investment
April 16-30, 2026]:[Net Investment
May 01-15, 2026]])</f>
        <v/>
      </c>
      <c r="BD22" s="38">
        <f>SUM(Table22[[#This Row],[Net Investment
April 01-15, 2026]:[Net Investment
May 01-15, 2026]])</f>
        <v/>
      </c>
      <c r="BE22" s="38">
        <f>SUM(Table22[[#This Row],[Net Investment
March 16-31, 2026]:[Net Investment
May 01-15, 2026]])</f>
        <v/>
      </c>
      <c r="BF22" s="38">
        <f>SUM(Table22[[#This Row],[Net Investment
March 01-15, 2026]:[Net Investment
May 01-15, 2026]])</f>
        <v/>
      </c>
      <c r="BG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C23" s="38">
        <f>SUM(Table22[[#This Row],[Net Investment
April 16-30, 2026]:[Net Investment
May 01-15, 2026]])</f>
        <v/>
      </c>
      <c r="BD23" s="38">
        <f>SUM(Table22[[#This Row],[Net Investment
April 01-15, 2026]:[Net Investment
May 01-15, 2026]])</f>
        <v/>
      </c>
      <c r="BE23" s="38">
        <f>SUM(Table22[[#This Row],[Net Investment
March 16-31, 2026]:[Net Investment
May 01-15, 2026]])</f>
        <v/>
      </c>
      <c r="BF23" s="38">
        <f>SUM(Table22[[#This Row],[Net Investment
March 01-15, 2026]:[Net Investment
May 01-15, 2026]])</f>
        <v/>
      </c>
      <c r="BG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C24" s="38">
        <f>SUM(Table22[[#This Row],[Net Investment
April 16-30, 2026]:[Net Investment
May 01-15, 2026]])</f>
        <v/>
      </c>
      <c r="BD24" s="38">
        <f>SUM(Table22[[#This Row],[Net Investment
April 01-15, 2026]:[Net Investment
May 01-15, 2026]])</f>
        <v/>
      </c>
      <c r="BE24" s="38">
        <f>SUM(Table22[[#This Row],[Net Investment
March 16-31, 2026]:[Net Investment
May 01-15, 2026]])</f>
        <v/>
      </c>
      <c r="BF24" s="38">
        <f>SUM(Table22[[#This Row],[Net Investment
March 01-15, 2026]:[Net Investment
May 01-15, 2026]])</f>
        <v/>
      </c>
      <c r="BG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C25" s="38">
        <f>SUM(Table22[[#This Row],[Net Investment
April 16-30, 2026]:[Net Investment
May 01-15, 2026]])</f>
        <v/>
      </c>
      <c r="BD25" s="38">
        <f>SUM(Table22[[#This Row],[Net Investment
April 01-15, 2026]:[Net Investment
May 01-15, 2026]])</f>
        <v/>
      </c>
      <c r="BE25" s="38">
        <f>SUM(Table22[[#This Row],[Net Investment
March 16-31, 2026]:[Net Investment
May 01-15, 2026]])</f>
        <v/>
      </c>
      <c r="BF25" s="38">
        <f>SUM(Table22[[#This Row],[Net Investment
March 01-15, 2026]:[Net Investment
May 01-15, 2026]])</f>
        <v/>
      </c>
      <c r="BG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C26" s="38">
        <f>SUM(Table22[[#This Row],[Net Investment
April 16-30, 2026]:[Net Investment
May 01-15, 2026]])</f>
        <v/>
      </c>
      <c r="BD26" s="38">
        <f>SUM(Table22[[#This Row],[Net Investment
April 01-15, 2026]:[Net Investment
May 01-15, 2026]])</f>
        <v/>
      </c>
      <c r="BE26" s="38">
        <f>SUM(Table22[[#This Row],[Net Investment
March 16-31, 2026]:[Net Investment
May 01-15, 2026]])</f>
        <v/>
      </c>
      <c r="BF26" s="38">
        <f>SUM(Table22[[#This Row],[Net Investment
March 01-15, 2026]:[Net Investment
May 01-15, 2026]])</f>
        <v/>
      </c>
      <c r="BG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</row>
  </sheetData>
  <conditionalFormatting sqref="B2:B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-1458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-5669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1276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-1161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2579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11245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18618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6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-2544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9800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13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13686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7461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-199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6744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-2016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-4416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1199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4187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-10708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161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-75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1101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-19837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-2559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-1008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1435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-3409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11806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10082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-14847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-40826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3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3877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-888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5566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-30974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-5860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-524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13332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-15870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85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93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3098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2026-09-10T16:29:13Z</dcterms:modified>
  <cp:lastModifiedBy>Ankit Gupta</cp:lastModifiedBy>
</cp:coreProperties>
</file>